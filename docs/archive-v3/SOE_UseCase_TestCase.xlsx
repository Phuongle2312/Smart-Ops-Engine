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Use case" sheetId="2" state="visible" r:id="rId2"/>
    <sheet name="Use case - Từng bước" sheetId="3" state="visible" r:id="rId3"/>
    <sheet name="Test case v3" sheetId="4" state="visible" r:id="rId4"/>
    <sheet name="Test case v1 (legacy)" sheetId="5" state="visible" r:id="rId5"/>
    <sheet name="Truy vết" sheetId="6" state="visible" r:id="rId6"/>
    <sheet name="Công việc (workplan)" sheetId="7" state="visible" r:id="rId7"/>
  </sheets>
  <definedNames>
    <definedName name="_xlnm._FilterDatabase" localSheetId="1" hidden="1">'Use case'!$A$1:$Q$29</definedName>
    <definedName name="_xlnm._FilterDatabase" localSheetId="2" hidden="1">'Use case - Từng bước'!$A$1:$E$351</definedName>
    <definedName name="_xlnm._FilterDatabase" localSheetId="3" hidden="1">'Test case v3'!$A$1:$P$533</definedName>
    <definedName name="_xlnm._FilterDatabase" localSheetId="4" hidden="1">'Test case v1 (legacy)'!$A$1:$P$142</definedName>
    <definedName name="_xlnm._FilterDatabase" localSheetId="6" hidden="1">'Công việc (workplan)'!$A$1:$F$19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sz val="10"/>
    </font>
    <font>
      <name val="Arial"/>
      <b val="1"/>
      <sz val="10"/>
    </font>
    <font>
      <name val="Arial"/>
      <i val="1"/>
      <sz val="9"/>
    </font>
    <font>
      <name val="Arial"/>
      <b val="1"/>
      <sz val="11"/>
    </font>
    <font>
      <name val="Arial"/>
      <b val="1"/>
      <color rgb="001F3864"/>
      <sz val="16"/>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7"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3" fillId="0" borderId="1" pivotButton="0" quotePrefix="0" xfId="0"/>
    <xf numFmtId="0" fontId="4" fillId="0" borderId="1" pivotButton="0" quotePrefix="0" xfId="0"/>
    <xf numFmtId="0" fontId="6" fillId="0" borderId="0" pivotButton="0" quotePrefix="0" xfId="0"/>
    <xf numFmtId="0" fontId="4" fillId="0" borderId="0" pivotButton="0" quotePrefix="0" xfId="0"/>
    <xf numFmtId="0" fontId="3" fillId="0" borderId="0" applyAlignment="1" pivotButton="0" quotePrefix="0" xfId="0">
      <alignment vertical="top" wrapText="1"/>
    </xf>
    <xf numFmtId="0" fontId="3" fillId="0"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4" fillId="4" borderId="1" pivotButton="0" quotePrefix="0" xfId="0"/>
  </cellXfs>
  <cellStyles count="1">
    <cellStyle name="Normal" xfId="0" builtinId="0" hidden="0"/>
  </cellStyles>
  <dxfs count="3">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0" customWidth="1" min="2" max="2"/>
  </cols>
  <sheetData>
    <row r="1">
      <c r="A1" s="1" t="inlineStr">
        <is>
          <t>Smart Ops Engine — Use case &amp; Test case</t>
        </is>
      </c>
    </row>
    <row r="2">
      <c r="A2" s="2" t="inlineStr">
        <is>
          <t>Sinh tự động từ docs/*.md bằng tools/scripts/build_test_docs.py — sửa Markdown rồi chạy lại.</t>
        </is>
      </c>
    </row>
    <row r="4">
      <c r="A4" s="3" t="inlineStr">
        <is>
          <t>Chỉ số</t>
        </is>
      </c>
      <c r="B4" s="3" t="inlineStr">
        <is>
          <t>Giá trị</t>
        </is>
      </c>
    </row>
    <row r="5">
      <c r="A5" s="4" t="inlineStr">
        <is>
          <t>Use case (v3)</t>
        </is>
      </c>
      <c r="B5" s="5">
        <f>COUNTA('Use case'!B2:B500)</f>
        <v/>
      </c>
    </row>
    <row r="6">
      <c r="A6" s="4" t="inlineStr">
        <is>
          <t>Bước / luồng use case</t>
        </is>
      </c>
      <c r="B6" s="5">
        <f>COUNTA('Use case - Từng bước'!A2:A2000)</f>
        <v/>
      </c>
    </row>
    <row r="7">
      <c r="A7" s="4" t="inlineStr">
        <is>
          <t>Test case v3</t>
        </is>
      </c>
      <c r="B7" s="5">
        <f>COUNTA('Test case v3'!B2:B533)</f>
        <v/>
      </c>
    </row>
    <row r="8">
      <c r="A8" s="4" t="inlineStr">
        <is>
          <t>Test case v1 (legacy)</t>
        </is>
      </c>
      <c r="B8" s="5">
        <f>COUNTA('Test case v1 (legacy)'!B2:B142)</f>
        <v/>
      </c>
    </row>
    <row r="9">
      <c r="A9" s="4" t="inlineStr">
        <is>
          <t>Test case v3 — Pass</t>
        </is>
      </c>
      <c r="B9" s="5">
        <f>COUNTIF('Test case v3'!M2:M533,"Pass")</f>
        <v/>
      </c>
    </row>
    <row r="10">
      <c r="A10" s="4" t="inlineStr">
        <is>
          <t>Test case v3 — Fail</t>
        </is>
      </c>
      <c r="B10" s="5">
        <f>COUNTIF('Test case v3'!M2:M533,"Fail")</f>
        <v/>
      </c>
    </row>
    <row r="11">
      <c r="A11" s="4" t="inlineStr">
        <is>
          <t>Test case v3 — Chưa chạy</t>
        </is>
      </c>
      <c r="B11" s="5">
        <f>COUNTIF('Test case v3'!M2:M533,"Chưa chạy")</f>
        <v/>
      </c>
    </row>
    <row r="12">
      <c r="A12" s="4" t="inlineStr">
        <is>
          <t>Test case v3 — Ưu tiên P1</t>
        </is>
      </c>
      <c r="B12" s="5">
        <f>COUNTIF('Test case v3'!K2:K533,"P1*")</f>
        <v/>
      </c>
    </row>
    <row r="13">
      <c r="A13" s="4" t="inlineStr">
        <is>
          <t>Test case v1 — Pass</t>
        </is>
      </c>
      <c r="B13" s="5">
        <f>COUNTIF('Test case v1 (legacy)'!M2:M142,"Pass")</f>
        <v/>
      </c>
    </row>
    <row r="14">
      <c r="A14" s="4" t="inlineStr">
        <is>
          <t>Test case v1 — Chưa chạy</t>
        </is>
      </c>
      <c r="B14" s="5">
        <f>COUNTIF('Test case v1 (legacy)'!M2:M142,"Chưa chạy")</f>
        <v/>
      </c>
    </row>
    <row r="16">
      <c r="A16" s="6" t="inlineStr">
        <is>
          <t>Các sheet</t>
        </is>
      </c>
    </row>
    <row r="17">
      <c r="A17" s="7" t="inlineStr">
        <is>
          <t>Use case</t>
        </is>
      </c>
      <c r="B17" s="8" t="inlineStr">
        <is>
          <t>Mỗi dòng một use case: actor, kích hoạt, tiền/hậu điều kiện, luồng chính/thay thế/ngoại lệ, BR, test case liên quan.</t>
        </is>
      </c>
    </row>
    <row r="18">
      <c r="A18" s="7" t="inlineStr">
        <is>
          <t>Use case - Từng bước</t>
        </is>
      </c>
      <c r="B18" s="8" t="inlineStr">
        <is>
          <t>Mỗi dòng một bước/luồng của use case — dùng để soi chi tiết hoặc lọc theo UC.</t>
        </is>
      </c>
    </row>
    <row r="19">
      <c r="A19" s="7" t="inlineStr">
        <is>
          <t>Test case v3</t>
        </is>
      </c>
      <c r="B19" s="8" t="inlineStr">
        <is>
          <t>Test case bản .NET 8 microservices (API, Integration, E2E UI, Security, Performance, Messaging). Ô vàng để ghi kết quả.</t>
        </is>
      </c>
    </row>
    <row r="20">
      <c r="A20" s="7" t="inlineStr">
        <is>
          <t>Test case v1 (legacy)</t>
        </is>
      </c>
      <c r="B20" s="8" t="inlineStr">
        <is>
          <t>Test case bản Spring Boot v1 đang chạy (Backend + Frontend theo 9 module).</t>
        </is>
      </c>
    </row>
    <row r="21">
      <c r="A21" s="7" t="inlineStr">
        <is>
          <t>Truy vết</t>
        </is>
      </c>
      <c r="B21" s="8" t="inlineStr">
        <is>
          <t>Thống kê use case / test case / ưu tiên / kết quả theo phân hệ (công thức, tự cập nhật).</t>
        </is>
      </c>
    </row>
    <row r="22">
      <c r="A22" s="7" t="inlineStr">
        <is>
          <t>Công việc (workplan)</t>
        </is>
      </c>
      <c r="B22" s="8" t="inlineStr">
        <is>
          <t>Phân chia hạng mục ↔ thư mục ↔ SRS ↔ test case ↔ mốc M1–M5 và việc nợ của M1.</t>
        </is>
      </c>
    </row>
    <row r="24">
      <c r="A24" s="6" t="inlineStr">
        <is>
          <t>Cách ghi kết quả</t>
        </is>
      </c>
    </row>
    <row r="25">
      <c r="A25" s="9" t="inlineStr">
        <is>
          <t>Chọn cột 'Trạng thái' (Chưa chạy / Pass / Fail / Blocked / Skip); điền 'Kết quả thực tế', 'Người test', 'Ngày test'.</t>
        </is>
      </c>
    </row>
    <row r="26">
      <c r="A26" s="9" t="inlineStr">
        <is>
          <t>Ưu tiên: P1 = bắt buộc pass trước khi phát hành; P2 = nên pass; P3 = có thể hoãn.</t>
        </is>
      </c>
    </row>
    <row r="27">
      <c r="A27" s="9" t="inlineStr">
        <is>
          <t>Mã TC theo dạng TC-&lt;PHÂN HỆ&gt;-&lt;TẦNG&gt;-&lt;SỐ&gt;: API/INT = backend, E2E = giao diện, SEC/PERF = phi chức năng.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8" customWidth="1" min="3" max="3"/>
    <col width="14" customWidth="1" min="4" max="4"/>
    <col width="18" customWidth="1" min="5" max="5"/>
    <col width="18" customWidth="1" min="6" max="6"/>
    <col width="10" customWidth="1" min="7" max="7"/>
    <col width="14" customWidth="1" min="8" max="8"/>
    <col width="26" customWidth="1" min="9" max="9"/>
    <col width="30" customWidth="1" min="10" max="10"/>
    <col width="60" customWidth="1" min="11" max="11"/>
    <col width="46" customWidth="1" min="12" max="12"/>
    <col width="56" customWidth="1" min="13" max="13"/>
    <col width="34" customWidth="1" min="14" max="14"/>
    <col width="22" customWidth="1" min="15" max="15"/>
    <col width="28" customWidth="1" min="16" max="16"/>
    <col width="20" customWidth="1" min="17" max="17"/>
  </cols>
  <sheetData>
    <row r="1" ht="32" customHeight="1">
      <c r="A1" s="3" t="inlineStr">
        <is>
          <t>STT</t>
        </is>
      </c>
      <c r="B1" s="3" t="inlineStr">
        <is>
          <t>Mã UC</t>
        </is>
      </c>
      <c r="C1" s="3" t="inlineStr">
        <is>
          <t>Tên use case</t>
        </is>
      </c>
      <c r="D1" s="3" t="inlineStr">
        <is>
          <t>Phân hệ</t>
        </is>
      </c>
      <c r="E1" s="3" t="inlineStr">
        <is>
          <t>Actor chính</t>
        </is>
      </c>
      <c r="F1" s="3" t="inlineStr">
        <is>
          <t>Actor phụ</t>
        </is>
      </c>
      <c r="G1" s="3" t="inlineStr">
        <is>
          <t>Ưu tiên</t>
        </is>
      </c>
      <c r="H1" s="3" t="inlineStr">
        <is>
          <t>Tần suất</t>
        </is>
      </c>
      <c r="I1" s="3" t="inlineStr">
        <is>
          <t>Kích hoạt</t>
        </is>
      </c>
      <c r="J1" s="3" t="inlineStr">
        <is>
          <t>Tiền điều kiện</t>
        </is>
      </c>
      <c r="K1" s="3" t="inlineStr">
        <is>
          <t>Luồng chính</t>
        </is>
      </c>
      <c r="L1" s="3" t="inlineStr">
        <is>
          <t>Luồng thay thế</t>
        </is>
      </c>
      <c r="M1" s="3" t="inlineStr">
        <is>
          <t>Luồng ngoại lệ</t>
        </is>
      </c>
      <c r="N1" s="3" t="inlineStr">
        <is>
          <t>Hậu điều kiện</t>
        </is>
      </c>
      <c r="O1" s="3" t="inlineStr">
        <is>
          <t>Business rule / NFR</t>
        </is>
      </c>
      <c r="P1" s="3" t="inlineStr">
        <is>
          <t>Test case liên quan</t>
        </is>
      </c>
      <c r="Q1" s="3" t="inlineStr">
        <is>
          <t>Nguồn</t>
        </is>
      </c>
    </row>
    <row r="2">
      <c r="A2" s="10" t="n">
        <v>1</v>
      </c>
      <c r="B2" s="10" t="inlineStr">
        <is>
          <t>UC-IDN-01</t>
        </is>
      </c>
      <c r="C2" s="10" t="inlineStr">
        <is>
          <t>Đăng nhập hệ thống</t>
        </is>
      </c>
      <c r="D2" s="10" t="inlineStr">
        <is>
          <t>Identity</t>
        </is>
      </c>
      <c r="E2" s="10" t="inlineStr">
        <is>
          <t>Người dùng (ADMIN / OPERATOR / VIEWER)</t>
        </is>
      </c>
      <c r="F2" s="10" t="inlineStr">
        <is>
          <t>Identity Service, Audit Service</t>
        </is>
      </c>
      <c r="G2" s="10" t="inlineStr">
        <is>
          <t>Must</t>
        </is>
      </c>
      <c r="H2" s="10" t="inlineStr">
        <is>
          <t>nhiều lần/ngày</t>
        </is>
      </c>
      <c r="I2" s="10" t="inlineStr">
        <is>
          <t>Người dùng mở ứng dụng mà chưa có phiên hợp lệ</t>
        </is>
      </c>
      <c r="J2" s="10" t="inlineStr">
        <is>
          <t>Tài khoản đã được ADMIN tạo và đang hoạt động; người dùng truy cập được `https://soe.example.com`</t>
        </is>
      </c>
      <c r="K2" s="10" t="inlineStr">
        <is>
          <t>1. Hệ thống hiển thị trang đăng nhập với ô “Tên đăng nhập”, “Mật khẩu” và nút “Đăng nhập”.
2. Người dùng nhập thông tin và bấm “Đăng nhập”.
3. Frontend validate: cả hai ô bắt buộc, `username` đúng định dạng. Không hợp lệ → hiện lỗi tại ô, dừng.
4. Frontend gọi `POST /api/v1/auth/login`.
5. Gateway kiểm tra rate limit (5 lần/phút/IP) và chuyển tiếp.
6. Identity tìm người dùng, xác minh mật khẩu bằng Argon2id.
7. Identity đặt lại `failedLoginCount`, cập nhật `lastLoginAt`, phát hành access token (15 phút) và refresh token (cookie `HttpOnly`), phát `UserLoggedInV1`.
8. Frontend lưu access token trong bộ nhớ, khởi tạo kết nối SignalR, điều hướng tới Dashboard (hoặc `returnUrl` nội bộ).
9. Audit ghi `LOGIN_SUCCEEDED`.</t>
        </is>
      </c>
      <c r="L2" s="10" t="inlineStr">
        <is>
          <t>- A1 — Bắt buộc đổi mật khẩu: bước 7 trả `mustChangePassword = true` → frontend mở hộp thoại đổi mật khẩu và chặn điều hướng cho tới khi đổi xong (UC-IDN-03).
- A2 — Còn phiên hợp lệ: ở bước 1, nếu cookie refresh còn hạn, frontend gọi `/auth/refresh` và vào thẳng Dashboard.
- A3 — Có `returnUrl`: sau khi đăng nhập, điều hướng tới đường dẫn nội bộ đã lưu (chỉ nhận đường dẫn bắt đầu bằng `/`).</t>
        </is>
      </c>
      <c r="M2" s="10" t="inlineStr">
        <is>
          <t>- E1 — Sai thông tin: Identity tăng `failedLoginCount`, phát `UserLoginFailedV1`, trả `401 SOE-IDN-401`; frontend hiện “Tên đăng nhập hoặc mật khẩu không đúng.” (không nói rõ sai ở đâu — BR-IDN-001).
- E2 — Sai 5 lần: tài khoản bị khóa 15 phút, trả `423 SOE-IDN-423`; frontend hiện đếm ngược; Audit ghi `ACCOUNT_LOCKED`.
- E3 — Tài khoản bị vô hiệu hóa: trả `403 SOE-IDN-403` “Tài khoản đã bị vô hiệu hóa.”
- E4 — Vượt rate limit: `429` + `Retry-After`; frontend hiện “Bạn thử quá nhiều lần, vui lòng đợi {n} giây.”
- E5 — Identity không phản hồi: gateway trả `503`; frontend hiện “Hệ thống tạm thời không khả dụng, vui lòng thử lại.”</t>
        </is>
      </c>
      <c r="N2" s="10" t="inlineStr">
        <is>
          <t>Thành công: người dùng có phiên, access token 15 phút, refresh token 7 ngày; audit ghi nhận.
Thất bại: không phát hành token; số lần sai được ghi nhận.</t>
        </is>
      </c>
      <c r="O2" s="10" t="inlineStr">
        <is>
          <t>BR liên quan: BR-IDN-001, 002, 006; NFR: NFR-SEC-004, 005, 006; đăng nhập p95 ≤ 700 ms</t>
        </is>
      </c>
      <c r="P2" s="10" t="inlineStr">
        <is>
          <t>TC-IDN-API-001…010, TC-IDN-E2E-001…004, TC-IDN-SEC-001…005</t>
        </is>
      </c>
      <c r="Q2" s="10" t="inlineStr">
        <is>
          <t>UC-01_auth.md</t>
        </is>
      </c>
    </row>
    <row r="3">
      <c r="A3" s="10" t="n">
        <v>2</v>
      </c>
      <c r="B3" s="10" t="inlineStr">
        <is>
          <t>UC-IDN-02</t>
        </is>
      </c>
      <c r="C3" s="10" t="inlineStr">
        <is>
          <t>Duy trì phiên &amp; đăng xuất</t>
        </is>
      </c>
      <c r="D3" s="10" t="inlineStr">
        <is>
          <t>Identity</t>
        </is>
      </c>
      <c r="E3" s="10" t="inlineStr">
        <is>
          <t>Người dùng</t>
        </is>
      </c>
      <c r="F3" s="10" t="inlineStr">
        <is>
          <t>Identity</t>
        </is>
      </c>
      <c r="G3" s="10" t="inlineStr"/>
      <c r="H3" s="10" t="inlineStr"/>
      <c r="I3" s="10" t="inlineStr">
        <is>
          <t>Access token hết hạn, hoặc người dùng bấm “Đăng xuất”</t>
        </is>
      </c>
      <c r="J3" s="10" t="inlineStr">
        <is>
          <t>Đang có phiên hợp lệ</t>
        </is>
      </c>
      <c r="K3" s="10" t="inlineStr">
        <is>
          <t>1. Frontend gọi API nghiệp vụ và nhận `401`.
2. Interceptor tạm giữ mọi request đang chờ (single-flight) và gọi `POST /auth/refresh` (cookie tự gửi).
3. Identity xác minh hash refresh token, kiểm tra chưa dùng và chưa thu hồi.
4. Identity đánh dấu token cũ đã dùng, phát hành access token mới + refresh token mới cùng `FamilyId`.
5. Frontend cập nhật token trong bộ nhớ và gửi lại các request đang chờ.</t>
        </is>
      </c>
      <c r="L3" s="10" t="inlineStr">
        <is>
          <t>- A1 — Đăng xuất chủ động: người dùng bấm “Đăng xuất” → `POST /auth/logout` → thu hồi refresh token, xóa cookie, đóng SignalR, xóa cache React Query, chuyển về `/login`.
- A2 — Hết hạn phiên do không thao tác: sau 30 phút không tương tác, frontend tự đăng xuất và hiện thông báo “Phiên làm việc đã kết thúc”.</t>
        </is>
      </c>
      <c r="M3" s="10" t="inlineStr">
        <is>
          <t>- E1 — Refresh token hết hạn/không hợp lệ: `401 SOE-IDN-402`; frontend chuyển về `/login` kèm `returnUrl`.
- E2 — Phát hiện tái sử dụng token: Identity thu hồi toàn bộ `FamilyId`, ghi `TOKEN_REUSE_DETECTED`, trả `401`; mọi thiết bị của người dùng bị đăng xuất.
- E3 — Người dùng bị vô hiệu hóa giữa phiên: refresh bị từ chối; token cũ hết hiệu lực trong tối đa 15 phút.
- E4 — Đổi mật khẩu ở thiết bị khác: mọi refresh token bị thu hồi (BR-IDN-004) → E1.</t>
        </is>
      </c>
      <c r="N3" s="10" t="inlineStr">
        <is>
          <t>phiên được gia hạn liền mạch hoặc chấm dứt sạch (không còn token, không còn cache).</t>
        </is>
      </c>
      <c r="O3" s="10" t="inlineStr">
        <is>
          <t>BR: BR-IDN-003, 004, 005, 008; NFR: NFR-SEC-005</t>
        </is>
      </c>
      <c r="P3" s="10" t="inlineStr">
        <is>
          <t>TC-IDN-API-011…018, TC-IDN-SEC-006…009</t>
        </is>
      </c>
      <c r="Q3" s="10" t="inlineStr">
        <is>
          <t>UC-01_auth.md</t>
        </is>
      </c>
    </row>
    <row r="4">
      <c r="A4" s="10" t="n">
        <v>3</v>
      </c>
      <c r="B4" s="10" t="inlineStr">
        <is>
          <t>UC-IDN-03</t>
        </is>
      </c>
      <c r="C4" s="10" t="inlineStr">
        <is>
          <t>Đổi mật khẩu</t>
        </is>
      </c>
      <c r="D4" s="10" t="inlineStr">
        <is>
          <t>Identity</t>
        </is>
      </c>
      <c r="E4" s="10" t="inlineStr">
        <is>
          <t>Người dùng bất kỳ</t>
        </is>
      </c>
      <c r="F4" s="10" t="inlineStr"/>
      <c r="G4" s="10" t="inlineStr"/>
      <c r="H4" s="10" t="inlineStr"/>
      <c r="I4" s="10" t="inlineStr">
        <is>
          <t>Người dùng chọn “Đổi mật khẩu”, hoặc hệ thống yêu cầu (`mustChangePassword`)</t>
        </is>
      </c>
      <c r="J4" s="10" t="inlineStr">
        <is>
          <t>đã đăng nhập</t>
        </is>
      </c>
      <c r="K4" s="10" t="inlineStr">
        <is>
          <t>1. Người dùng mở hộp thoại đổi mật khẩu.
2. Nhập mật khẩu hiện tại, mật khẩu mới, xác nhận mật khẩu mới.
3. Frontend validate: ≥ 12 ký tự, có chữ và số, hai ô mới khớp nhau, khác mật khẩu hiện tại; hiện thanh đo độ mạnh.
4. Gọi `PUT /api/v1/me/password`.
5. Identity xác minh mật khẩu hiện tại, kiểm tra chính sách và danh sách mật khẩu yếu, cập nhật hash và `PasswordChangedAt`, thu hồi toàn bộ refresh token.
6. Frontend nhận `204`, hiện toast, đăng xuất và yêu cầu đăng nhập lại bằng mật khẩu mới.
7. Audit ghi `USER_PASSWORD_CHANGED`.</t>
        </is>
      </c>
      <c r="L4" s="10" t="inlineStr"/>
      <c r="M4" s="10" t="inlineStr">
        <is>
          <t>- E1 — Sai mật khẩu hiện tại: `401`; hiện lỗi tại ô mật khẩu hiện tại.
- E2 — Mật khẩu mới không đạt chính sách/nằm trong danh sách yếu: `400 SOE-IDN-400` kèm `errors.newPassword`.
- E3 — Mật khẩu mới trùng mật khẩu cũ: `400` với thông báo riêng (BR-IDN-007).</t>
        </is>
      </c>
      <c r="N4" s="10" t="inlineStr">
        <is>
          <t>mật khẩu mới có hiệu lực; mọi phiên cũ bị thu hồi.</t>
        </is>
      </c>
      <c r="O4" s="10" t="inlineStr"/>
      <c r="P4" s="10" t="inlineStr">
        <is>
          <t>TC-IDN-API-019…024, TC-IDN-E2E-005</t>
        </is>
      </c>
      <c r="Q4" s="10" t="inlineStr">
        <is>
          <t>UC-01_auth.md</t>
        </is>
      </c>
    </row>
    <row r="5">
      <c r="A5" s="10" t="n">
        <v>4</v>
      </c>
      <c r="B5" s="10" t="inlineStr">
        <is>
          <t>UC-IDN-04</t>
        </is>
      </c>
      <c r="C5" s="10" t="inlineStr">
        <is>
          <t>Quản lý người dùng</t>
        </is>
      </c>
      <c r="D5" s="10" t="inlineStr">
        <is>
          <t>Identity</t>
        </is>
      </c>
      <c r="E5" s="10" t="inlineStr">
        <is>
          <t>ADMIN</t>
        </is>
      </c>
      <c r="F5" s="10" t="inlineStr"/>
      <c r="G5" s="10" t="inlineStr"/>
      <c r="H5" s="10" t="inlineStr"/>
      <c r="I5" s="10" t="inlineStr">
        <is>
          <t>ADMIN mở màn hình “Người dùng”</t>
        </is>
      </c>
      <c r="J5" s="10" t="inlineStr">
        <is>
          <t>đăng nhập với vai trò ADMIN</t>
        </is>
      </c>
      <c r="K5" s="10" t="inlineStr">
        <is>
          <t>1. ADMIN mở màn hình `Users`, thấy danh sách phân trang có bộ lọc vai trò/trạng thái.
2. Bấm “Thêm người dùng”, nhập `username`, họ tên, email, vai trò.
3. Frontend validate theo bảng quy tắc (SRS 01 §6).
4. Gọi `POST /api/v1/users`.
5. Identity tạo tài khoản với mật khẩu tạm, đặt `mustChangePassword = true`.
6. Hệ thống hiển thị mật khẩu tạm một lần duy nhất kèm nút sao chép và cảnh báo không hiển thị lại.
7. Audit ghi `USER_CREATED`.</t>
        </is>
      </c>
      <c r="L5" s="10" t="inlineStr">
        <is>
          <t>- A1 — Sửa người dùng: đổi họ tên/email/vai trò → `PUT /users/{id}`; đổi vai trò làm token hiện tại của người đó mất quyền ở lần refresh kế tiếp.
- A2 — Vô hiệu hóa/kích hoạt: `PUT /users/{id}/status`; vô hiệu hóa kéo theo thu hồi mọi phiên.
- A3 — Đặt lại mật khẩu: `POST /users/{id}/reset-password` → mật khẩu tạm mới, `mustChangePassword = true`.
- A4 — Buộc đăng xuất: `POST /users/{id}/revoke-sessions`.</t>
        </is>
      </c>
      <c r="M5" s="10" t="inlineStr">
        <is>
          <t>- E1 — Trùng username/email: `409 SOE-IDN-409`, lỗi gắn vào đúng ô.
- E2 — Hạ quyền/vô hiệu hóa ADMIN cuối cùng: `422 SOE-IDN-422` “Không thể vô hiệu hóa quản trị viên cuối cùng.” (FR-IDN-015).
- E3 — ADMIN tự vô hiệu hóa chính mình: chặn ở backend với cùng mã lỗi.
- E4 — Người dùng không tồn tại: `404`.</t>
        </is>
      </c>
      <c r="N5" s="10" t="inlineStr">
        <is>
          <t>danh sách người dùng phản ánh thay đổi; mọi thao tác có bản ghi audit.</t>
        </is>
      </c>
      <c r="O5" s="10" t="inlineStr">
        <is>
          <t>BR: BR-IDN-006, 008; NFR: NFR-SEC-008, NFR-SEC-012</t>
        </is>
      </c>
      <c r="P5" s="10" t="inlineStr">
        <is>
          <t>TC-IDN-API-025…036, TC-IDN-E2E-006…009, TC-GW-SEC-010 (VIEWER/OPERATOR bị 403)</t>
        </is>
      </c>
      <c r="Q5" s="10" t="inlineStr">
        <is>
          <t>UC-01_auth.md</t>
        </is>
      </c>
    </row>
    <row r="6">
      <c r="A6" s="10" t="n">
        <v>5</v>
      </c>
      <c r="B6" s="10" t="inlineStr">
        <is>
          <t>UC-INV-01</t>
        </is>
      </c>
      <c r="C6" s="10" t="inlineStr">
        <is>
          <t>Thêm node mới</t>
        </is>
      </c>
      <c r="D6" s="10" t="inlineStr">
        <is>
          <t>Inventory</t>
        </is>
      </c>
      <c r="E6" s="10" t="inlineStr">
        <is>
          <t>ADMIN</t>
        </is>
      </c>
      <c r="F6" s="10" t="inlineStr">
        <is>
          <t>Inventory, Máy chủ đích (khi kiểm tra kết nối), Monitoring, Audit</t>
        </is>
      </c>
      <c r="G6" s="10" t="inlineStr">
        <is>
          <t>Must</t>
        </is>
      </c>
      <c r="H6" s="10" t="inlineStr">
        <is>
          <t>vài lần/tuần</t>
        </is>
      </c>
      <c r="I6" s="10" t="inlineStr">
        <is>
          <t>ADMIN bấm “Thêm máy chủ” ở màn hình `Nodes`</t>
        </is>
      </c>
      <c r="J6" s="10" t="inlineStr">
        <is>
          <t>ADMIN đã đăng nhập; đã có thông tin SSH của máy chủ cần giám sát</t>
        </is>
      </c>
      <c r="K6" s="10" t="inlineStr">
        <is>
          <t>1. Hệ thống mở modal “Thêm máy chủ mới” với hai tab xác thực: Password (mặc định) và SSH Key; ba checkbox giám sát CPU/RAM/Disk mặc định bật.
2. ADMIN nhập: tên, IP/hostname, port (mặc định 22), tài khoản SSH, credential theo tab đang chọn, đường mount đĩa (mặc định `/`), mô tả, tag (tùy chọn), chu kỳ quét riêng (tùy chọn).
3. Frontend validate theo schema zod (SRS 02 §6); lỗi hiển thị dưới từng ô, nút “Lưu” bị khóa.
4. ADMIN bấm “Kiểm tra kết nối” (khuyến nghị) → `POST /nodes/{tạm}/test-connection` hoặc kiểm tra kèm khi lưu (`testConnectionFirst = true`).
5. Inventory mở phiên SSH thử, lấy fingerprint host key, chạy một lệnh vô hại, trả kết quả kèm thời lượng.
6. ADMIN bấm “Lưu”; frontend gọi `POST /api/v1/nodes`.
7. Gateway kiểm tra vai trò ADMIN và rate limit ghi.
8. Inventory validate nghiệp vụ, kiểm tra trùng `(host, port)` và trùng `name`.
9. Inventory mã hóa credential bằng AES-256-GCM (một lần duy nhất, tại tầng Infrastructure), ghim fingerprint, lưu node + bản ghi outbox trong cùng transaction.
10. Trả `201 Created` với `NodeResponse` không chứa credential.
11. Outbox publisher phát `NodeCreatedV1`; Monitoring thêm vào read model và xếp lịch quét; Audit ghi `NODE_CREATED`.
12. Frontend đóng modal, thêm node vào danh sách, hiện toast “Đã thêm máy chủ {tên}”.</t>
        </is>
      </c>
      <c r="L6" s="10" t="inlineStr">
        <is>
          <t>- A1 — Dùng SSH Key: ADMIN chuyển tab SSH Key, dán private key (và passphrase nếu có); ô Password ẩn đi; validate bắt đầu bằng `-----BEGIN`, ≤ 16 KB.
- A2 — Bỏ qua kiểm tra kết nối: node vẫn được tạo; lần quét đầu sẽ phát hiện lỗi và mở sự cố `NODE_UNREACHABLE`.
- A3 — Tạo node ở trạng thái tắt giám sát: bỏ chọn “Giám sát”; node không được xếp lịch cho tới khi bật.
- A4 — Nhập hàng loạt bằng CSV (Could): tải lên tệp, hệ thống báo lỗi theo từng dòng, chỉ tạo các dòng hợp lệ.</t>
        </is>
      </c>
      <c r="M6" s="10" t="inlineStr">
        <is>
          <t>- E1 — Trùng host:port: `409 SOE-INV-409`; frontend gắn lỗi vào ô Host: “Đã có node sử dụng 192.168.1.10:22.”
- E2 — Trùng tên: `409 SOE-INV-410`.
- E3 — Dữ liệu không hợp lệ (port 70000, host có ký tự lạ): `400` kèm `errors` theo field.
- E4 — Kiểm tra kết nối thất bại: hiển thị nguyên nhân theo `failureKind` (sai mật khẩu, timeout, từ chối kết nối) kèm gợi ý; nếu bật `testConnectionFirst` thì trả `422` và không tạo node.
- E5 — Người dùng không phải ADMIN: `403` (OPERATOR/VIEWER không thấy nút, nhưng gọi thẳng API vẫn bị chặn).
- E6 — Mất kết nối khi đang lưu: transaction rollback; không có node “nửa vời”, không có event phát đi (nhờ outbox).</t>
        </is>
      </c>
      <c r="N6" s="10" t="inlineStr">
        <is>
          <t>Thành công: node tồn tại, credential được mã hóa, fingerprint đã ghim, Monitoring bắt đầu quét từ chu kỳ kế tiếp, có bản ghi audit.
Thất bại: không tạo node, không phát event.</t>
        </is>
      </c>
      <c r="O6" s="10" t="inlineStr">
        <is>
          <t>BR: BR-INV-001…003, 006, 007; NFR: NFR-SEC-003, NFR-SEC-013, NFR-PERF-002</t>
        </is>
      </c>
      <c r="P6" s="10" t="inlineStr">
        <is>
          <t>TC-INV-API-001…015, TC-INV-E2E-001…006, TC-INV-SEC-001…004</t>
        </is>
      </c>
      <c r="Q6" s="10" t="inlineStr">
        <is>
          <t>UC-02_node.md</t>
        </is>
      </c>
    </row>
    <row r="7">
      <c r="A7" s="10" t="n">
        <v>6</v>
      </c>
      <c r="B7" s="10" t="inlineStr">
        <is>
          <t>UC-INV-02</t>
        </is>
      </c>
      <c r="C7" s="10" t="inlineStr">
        <is>
          <t>Sửa thông tin node</t>
        </is>
      </c>
      <c r="D7" s="10" t="inlineStr">
        <is>
          <t>Inventory</t>
        </is>
      </c>
      <c r="E7" s="10" t="inlineStr">
        <is>
          <t>ADMIN</t>
        </is>
      </c>
      <c r="F7" s="10" t="inlineStr"/>
      <c r="G7" s="10" t="inlineStr"/>
      <c r="H7" s="10" t="inlineStr"/>
      <c r="I7" s="10" t="inlineStr">
        <is>
          <t>ADMIN bấm biểu tượng sửa trên hàng node</t>
        </is>
      </c>
      <c r="J7" s="10" t="inlineStr">
        <is>
          <t>node tồn tại</t>
        </is>
      </c>
      <c r="K7" s="10" t="inlineStr">
        <is>
          <t>1. Hệ thống mở modal “Cập nhật máy chủ” với dữ liệu hiện tại được điền sẵn; ô credential hiển thị `••••••••`.
2. ADMIN sửa các trường cần thiết (tên, mô tả, cờ giám sát, mount path, chu kỳ riêng, tag).
3. Frontend chỉ gửi credential khi người dùng thực sự nhập giá trị mới (`changeCredential = true`).
4. Gọi `PUT /api/v1/nodes/{id}`; Inventory validate, kiểm tra trùng, cập nhật, phát `NodeUpdatedV1` với `changedFields[]`.
5. Monitoring cập nhật read model; Audit ghi `NODE_UPDATED` kèm diff (credential hiển thị `*`).
6. Frontend đóng modal, cập nhật hàng trong bảng, hiện toast.</t>
        </is>
      </c>
      <c r="L7" s="10" t="inlineStr">
        <is>
          <t>- A1 — Đổi credential: nhập giá trị mới → Inventory mã hóa lại và ghi đè; lần quét kế tiếp dùng credential mới.
- A2 — Đổi host/port: fingerprint đã ghim bị xóa; hệ thống cảnh báo cần ghim lại ở lần kết nối tới.
- A3 — Tắt một loại metric: bỏ chọn CPU → Monitoring không thu CPU nữa; Incident đóng các sự cố `CPU_HIGH` đang mở của node.</t>
        </is>
      </c>
      <c r="M7" s="10" t="inlineStr">
        <is>
          <t>- E1 — Node đã bị xóa bởi người khác: `404 SOE-INV-404`; frontend làm mới danh sách.
- E2 — Xung đột chỉnh sửa đồng thời: `409` (optimistic concurrency); frontend đề nghị tải lại dữ liệu mới nhất.
- E3 — Giá trị mới trùng node khác: `409` như UC-INV-01/E1.</t>
        </is>
      </c>
      <c r="N7" s="10" t="inlineStr">
        <is>
          <t>thông tin node được cập nhật, credential cũ giữ nguyên nếu không đổi.</t>
        </is>
      </c>
      <c r="O7" s="10" t="inlineStr"/>
      <c r="P7" s="10" t="inlineStr">
        <is>
          <t>TC-INV-API-016…024, TC-INV-E2E-007…009</t>
        </is>
      </c>
      <c r="Q7" s="10" t="inlineStr">
        <is>
          <t>UC-02_node.md</t>
        </is>
      </c>
    </row>
    <row r="8">
      <c r="A8" s="10" t="n">
        <v>7</v>
      </c>
      <c r="B8" s="10" t="inlineStr">
        <is>
          <t>UC-INV-03</t>
        </is>
      </c>
      <c r="C8" s="10" t="inlineStr">
        <is>
          <t>Bật/tắt giám sát node</t>
        </is>
      </c>
      <c r="D8" s="10" t="inlineStr">
        <is>
          <t>Inventory</t>
        </is>
      </c>
      <c r="E8" s="10" t="inlineStr">
        <is>
          <t>OPERATOR hoặc ADMIN</t>
        </is>
      </c>
      <c r="F8" s="10" t="inlineStr"/>
      <c r="G8" s="10" t="inlineStr"/>
      <c r="H8" s="10" t="inlineStr"/>
      <c r="I8" s="10" t="inlineStr">
        <is>
          <t>Người dùng gạt công tắc “Giám sát” trên hàng node</t>
        </is>
      </c>
      <c r="J8" s="10" t="inlineStr"/>
      <c r="K8" s="10" t="inlineStr">
        <is>
          <t>1. Người dùng gạt công tắc; frontend cập nhật optimistic và gọi `PUT /nodes/{id}/monitoring`.
2. Inventory cập nhật `isActive`, phát `NodeMonitoringToggledV1`.
3. Monitoring ngừng (hoặc bắt đầu) xếp lịch quét cho node từ chu kỳ kế tiếp.
4. Khi tắt: Incident đóng mọi sự cố chưa đóng của node với lý do “Node ngừng giám sát”; Metrics đặt `status = MONITORING_OFF`.
5. Frontend hiện toast; các chỉ số của node chuyển sang trạng thái “Đang tắt” thay vì hiển thị số cũ.</t>
        </is>
      </c>
      <c r="L8" s="10" t="inlineStr"/>
      <c r="M8" s="10" t="inlineStr">
        <is>
          <t>- E1 — API lỗi: rollback trạng thái công tắc, hiện toast lỗi.
- E2 — VIEWER thao tác: không thấy công tắc; gọi thẳng API nhận `403`.</t>
        </is>
      </c>
      <c r="N8" s="10" t="inlineStr">
        <is>
          <t>node được/không được xếp lịch quét; sự cố liên quan đã đóng.</t>
        </is>
      </c>
      <c r="O8" s="10" t="inlineStr">
        <is>
          <t>BR: BR-INV-005</t>
        </is>
      </c>
      <c r="P8" s="10" t="inlineStr">
        <is>
          <t>TC-INV-API-025…028, TC-INC-INT-015, TC-INV-E2E-010</t>
        </is>
      </c>
      <c r="Q8" s="10" t="inlineStr">
        <is>
          <t>UC-02_node.md</t>
        </is>
      </c>
    </row>
    <row r="9">
      <c r="A9" s="10" t="n">
        <v>8</v>
      </c>
      <c r="B9" s="10" t="inlineStr">
        <is>
          <t>UC-INV-04</t>
        </is>
      </c>
      <c r="C9" s="10" t="inlineStr">
        <is>
          <t>Xóa node</t>
        </is>
      </c>
      <c r="D9" s="10" t="inlineStr">
        <is>
          <t>Inventory</t>
        </is>
      </c>
      <c r="E9" s="10" t="inlineStr">
        <is>
          <t>ADMIN</t>
        </is>
      </c>
      <c r="F9" s="10" t="inlineStr"/>
      <c r="G9" s="10" t="inlineStr"/>
      <c r="H9" s="10" t="inlineStr"/>
      <c r="I9" s="10" t="inlineStr">
        <is>
          <t>ADMIN bấm biểu tượng thùng rác</t>
        </is>
      </c>
      <c r="J9" s="10" t="inlineStr"/>
      <c r="K9" s="10" t="inlineStr">
        <is>
          <t>1. Hệ thống hiển thị hộp thoại xác nhận nêu rõ tên node và hệ quả: ngừng giám sát, đóng sự cố đang mở, dữ liệu lịch sử vẫn tra cứu được trong 30 ngày.
2. ADMIN xác nhận; frontend gọi `DELETE /api/v1/nodes/{id}`.
3. Inventory đánh dấu `DeletedAt`, xóa cứng bản ghi credential, phát `NodeDeletedV1`, trả `204`.
4. Monitoring bỏ node khỏi lịch; Incident đóng sự cố chưa đóng; Metrics đánh dấu dữ liệu lưu trữ; Audit ghi `NODE_DELETED`.
5. Frontend xóa hàng khỏi bảng và hiện toast.</t>
        </is>
      </c>
      <c r="L9" s="10" t="inlineStr"/>
      <c r="M9" s="10" t="inlineStr">
        <is>
          <t>- E1 — Node không tồn tại: `404`, làm mới danh sách.
- E2 — Người dùng hủy: đóng hộp thoại, không thay đổi gì.
- E3 — Message `NodeDeletedV1` xử lý muộn: một lần quét đang chạy có thể hoàn tất; Metrics/Incident bỏ qua dữ liệu của node đã xóa (BR-MET/INC).</t>
        </is>
      </c>
      <c r="N9" s="10" t="inlineStr">
        <is>
          <t>node biến mất khỏi danh sách giám sát; credential bị xóa vĩnh viễn; lịch sử vẫn tra cứu được.</t>
        </is>
      </c>
      <c r="O9" s="10" t="inlineStr">
        <is>
          <t>BR: BR-INV-004</t>
        </is>
      </c>
      <c r="P9" s="10" t="inlineStr">
        <is>
          <t>TC-INV-API-029…033, TC-INV-E2E-011…012</t>
        </is>
      </c>
      <c r="Q9" s="10" t="inlineStr">
        <is>
          <t>UC-02_node.md</t>
        </is>
      </c>
    </row>
    <row r="10">
      <c r="A10" s="10" t="n">
        <v>9</v>
      </c>
      <c r="B10" s="10" t="inlineStr">
        <is>
          <t>UC-INV-05</t>
        </is>
      </c>
      <c r="C10" s="10" t="inlineStr">
        <is>
          <t>Xử lý thay đổi host key</t>
        </is>
      </c>
      <c r="D10" s="10" t="inlineStr">
        <is>
          <t>Inventory</t>
        </is>
      </c>
      <c r="E10" s="10" t="inlineStr">
        <is>
          <t>ADMIN</t>
        </is>
      </c>
      <c r="F10" s="10" t="inlineStr">
        <is>
          <t>Worker giám sát, Incident, Audit</t>
        </is>
      </c>
      <c r="G10" s="10" t="inlineStr">
        <is>
          <t>Must</t>
        </is>
      </c>
      <c r="H10" s="10" t="inlineStr">
        <is>
          <t>hiếm (nhưng là tình huống bảo mật quan trọng)</t>
        </is>
      </c>
      <c r="I10" s="10" t="inlineStr">
        <is>
          <t>Worker phát hiện fingerprint khác bản đã ghim khi kết nối</t>
        </is>
      </c>
      <c r="J10" s="10" t="inlineStr">
        <is>
          <t>Node đã có `hostKeyFingerprint` được ghim</t>
        </is>
      </c>
      <c r="K10" s="10" t="inlineStr">
        <is>
          <t>1. Worker so sánh fingerprint nhận được với bản đã ghim → khác nhau.
2. Worker hủy kết nối trước khi gửi credential, phát `NodeUnreachableV1` với `failureKind = HostKeyMismatch`.
3. Incident mở sự cố `HOST_KEY_MISMATCH` mức CRITICAL ngay lần đầu.
4. Notification gửi cảnh báo tới các kênh; Audit ghi `HOSTKEY_MISMATCH_BLOCKED`.
5. ADMIN mở màn hình node, thấy cảnh báo đỏ giải thích rủi ro (máy chủ cài lại, đổi khóa, hoặc bị tấn công trung gian).
6. ADMIN xác minh ngoài hệ thống (so sánh fingerprint trên máy chủ thật).
7. Nếu hợp lệ: ADMIN bấm “Ghim lại host key”, nhập tên node để xác nhận → `POST /nodes/{id}/host-key/pin`.
8. Inventory cập nhật fingerprint, Audit ghi `NODE_HOSTKEY_PINNED`; lần quét kế tiếp hoạt động bình thường và sự cố được tự đóng khi thu được metric.</t>
        </is>
      </c>
      <c r="L10" s="10" t="inlineStr">
        <is>
          <t>- A1 — ADMIN nghi bị tấn công: tắt giám sát node, xử lý hạ tầng, sau đó ghim lại.</t>
        </is>
      </c>
      <c r="M10" s="10" t="inlineStr">
        <is>
          <t>- E1 — Người dùng không phải ADMIN bấm ghim lại: `403`.
- E2 — Node đã bị xóa trong lúc xử lý: `404`.</t>
        </is>
      </c>
      <c r="N10" s="10" t="inlineStr">
        <is>
          <t>hệ thống không bao giờ gửi credential tới máy chủ có host key lạ; hành động ghim lại có dấu vết kiểm toán.</t>
        </is>
      </c>
      <c r="O10" s="10" t="inlineStr">
        <is>
          <t>BR: BR-INV-006, BR-MON-007; NFR: NFR-SEC-013</t>
        </is>
      </c>
      <c r="P10" s="10" t="inlineStr">
        <is>
          <t>TC-INV-SEC-005…008, TC-MON-INT-010, TC-INC-INT-012</t>
        </is>
      </c>
      <c r="Q10" s="10" t="inlineStr">
        <is>
          <t>UC-02_node.md</t>
        </is>
      </c>
    </row>
    <row r="11">
      <c r="A11" s="10" t="n">
        <v>10</v>
      </c>
      <c r="B11" s="10" t="inlineStr">
        <is>
          <t>UC-MON-01</t>
        </is>
      </c>
      <c r="C11" s="10" t="inlineStr">
        <is>
          <t>Quét định kỳ toàn hệ thống</t>
        </is>
      </c>
      <c r="D11" s="10" t="inlineStr">
        <is>
          <t>Monitoring</t>
        </is>
      </c>
      <c r="E11" s="10" t="inlineStr">
        <is>
          <t>Scheduler (hệ thống)</t>
        </is>
      </c>
      <c r="F11" s="10" t="inlineStr">
        <is>
          <t>Worker giám sát, Inventory, Máy chủ đích, Metrics, Incident, Realtime</t>
        </is>
      </c>
      <c r="G11" s="10" t="inlineStr">
        <is>
          <t>Must</t>
        </is>
      </c>
      <c r="H11" s="10" t="inlineStr">
        <is>
          <t>mỗi 5 phút (cấu hình được)</t>
        </is>
      </c>
      <c r="I11" s="10" t="inlineStr">
        <is>
          <t>Trigger Quartz đến hạn</t>
        </is>
      </c>
      <c r="J11" s="10" t="inlineStr">
        <is>
          <t>Scheduler đang bật; có ít nhất một node `isActive`; RabbitMQ khả dụng</t>
        </is>
      </c>
      <c r="K11" s="10" t="inlineStr">
        <is>
          <t>1. Quartz kích hoạt job `ScanCycleJob` trên đúng một instance Scheduler (cluster lock).
2. Scheduler lấy danh sách node `isActive` đến hạn quét từ read model `MonitoredNodes`.
3. Với mỗi node, phát `CheckNodeV1` (`checkId`, `nodeId`, danh sách metric cần thu, `reason = Scheduled`, TTL một chu kỳ).
4. Scheduler ghi metric `soe_scan_cycle_coverage_ratio` và thời điểm bắt đầu chu kỳ.
5. RabbitMQ phân phối message cho các Worker rảnh (competing consumers).
6. Worker nhận message, kiểm tra message chưa quá hạn, lấy thông tin node từ read model.
7. Worker gọi Inventory `GET /internal/nodes/{id}/credentials` (mTLS, scope riêng); Inventory ghi audit `CREDENTIAL_ACCESSED`.
8. Worker mở phiên SSH: kiểm tra host key khớp fingerprint đã ghim → xác thực → chạy lệnh thu CPU (`/proc/stat` hai lần cách 1 giây), RAM (`free`), Disk (`df` theo mount path).
9. Worker phân tích kết quả thành `MetricSnapshot` (0–100, hai chữ số thập phân; không đọc được ⇒ `null`), đóng phiên SSH, xóa credential khỏi bộ nhớ.
10. Worker ghi `CheckRuns` và phát `MetricCollectedV1`.
11. Metrics lưu snapshot và cập nhật `MetricLatest`; Incident đánh giá ngưỡng (UC-INC-01); Realtime đẩy dữ liệu tới client đang mở Dashboard/Node Detail.</t>
        </is>
      </c>
      <c r="L11" s="10" t="inlineStr">
        <is>
          <t>- A1 — Node có chu kỳ riêng: chỉ phát lệnh khi `now − lastCheckedAt ≥ checkIntervalSeconds`.
- A2 — Node chỉ giám sát một phần: message chỉ liệt kê metric được bật; Worker chỉ chạy lệnh tương ứng.
- A3 — Hàng đợi tăng cao: KEDA tăng số Worker; chu kỳ vẫn hoàn tất trong hạn.
- A4 — Scheduler bị tắt bởi ADMIN: không phát lệnh; Dashboard hiển thị “Giám sát đang tạm dừng”.</t>
        </is>
      </c>
      <c r="M11" s="10" t="inlineStr">
        <is>
          <t>- E1 — SSH timeout/không kết nối được: xem UC-MON-03.
- E2 — Host key không khớp: hủy kết nối, xem UC-INV-05.
- E3 — Inventory không phản hồi: Worker retry theo Polly; hết retry thì message quay lại queue và được thử lại ở chu kỳ sau; cảnh báo `SoeScanCoverageLow` nếu kéo dài.
- E4 — Kết quả lệnh không phân tích được: metric tương ứng `null`, ghi cảnh báo với `failureKind = ParseError`; các metric khác vẫn được lưu.
- E5 — Message quá hạn: Worker bỏ qua để tránh quét dồn sau sự cố (FR-MON-016).
- E6 — Worker bị dừng giữa chừng: message chưa ack quay lại queue và được xử lý lại; nhờ idempotency không sinh dữ liệu trùng.
- E7 — RabbitMQ không khả dụng: Scheduler ghi outbox, phát lại khi broker phục hồi; cảnh báo hạ tầng.</t>
        </is>
      </c>
      <c r="N11" s="10" t="inlineStr">
        <is>
          <t>Thành công: mọi node active có một snapshot mới; chỉ số hệ thống cập nhật; sự cố được đánh giá.
Thất bại một phần: node lỗi có bản ghi `CheckRuns` với `outcome = Failed` và sự cố tương ứng.</t>
        </is>
      </c>
      <c r="O11" s="10" t="inlineStr">
        <is>
          <t>BR: BR-MON-001…007; NFR: NFR-SCL-001, NFR-PERF-005, NFR-AVL-003, 005, 006</t>
        </is>
      </c>
      <c r="P11" s="10" t="inlineStr">
        <is>
          <t>TC-MON-INT-001…012, TC-MON-PERF-001…004, TC-MON-CON-001…003</t>
        </is>
      </c>
      <c r="Q11" s="10" t="inlineStr">
        <is>
          <t>UC-03_monitoring.md</t>
        </is>
      </c>
    </row>
    <row r="12">
      <c r="A12" s="10" t="n">
        <v>11</v>
      </c>
      <c r="B12" s="10" t="inlineStr">
        <is>
          <t>UC-MON-02</t>
        </is>
      </c>
      <c r="C12" s="10" t="inlineStr">
        <is>
          <t>Kiểm tra node ngay (Check now)</t>
        </is>
      </c>
      <c r="D12" s="10" t="inlineStr">
        <is>
          <t>Monitoring</t>
        </is>
      </c>
      <c r="E12" s="10" t="inlineStr">
        <is>
          <t>OPERATOR hoặc ADMIN</t>
        </is>
      </c>
      <c r="F12" s="10" t="inlineStr"/>
      <c r="G12" s="10" t="inlineStr"/>
      <c r="H12" s="10" t="inlineStr"/>
      <c r="I12" s="10" t="inlineStr">
        <is>
          <t>Người dùng bấm “Kiểm tra ngay” ở màn hình Nodes hoặc Node Detail</t>
        </is>
      </c>
      <c r="J12" s="10" t="inlineStr">
        <is>
          <t>Node tồn tại và đang bật giám sát</t>
        </is>
      </c>
      <c r="K12" s="10" t="inlineStr">
        <is>
          <t>1. Người dùng bấm nút; frontend gọi `POST /api/v1/nodes/{id}/check-now`.
2. Gateway kiểm tra vai trò OPERATOR+ và rate limit (5/phút/user, 1/30 giây/node).
3. Monitoring phát `CheckNodeV1` với `reason = Manual`, `requestedBy = userId`, trả `202 Accepted` + `checkId`.
4. Frontend hiện trạng thái “Đang kiểm tra…”, khóa nút 30 giây.
5. Worker xử lý như UC-MON-01 bước 6–11.
6. Realtime đẩy `CheckCompleted` (kèm `checkId`, kết quả, thời lượng) và `MetricCollected`.
7. Frontend cập nhật chỉ số, mở khóa nút, hiện toast “Đã cập nhật chỉ số của {node}” hoặc thông báo lỗi.</t>
        </is>
      </c>
      <c r="L12" s="10" t="inlineStr">
        <is>
          <t>- A1 — Không nhận được kết quả trong 60 giây: frontend dừng trạng thái chờ và gợi ý xem tab “Lần quét gần đây”.</t>
        </is>
      </c>
      <c r="M12" s="10" t="inlineStr">
        <is>
          <t>- E1 — Node đang tắt giám sát: `409 SOE-MON-409` “Node đang tắt giám sát.”
- E2 — Gọi quá nhanh: `429`, frontend hiện “Vui lòng đợi {n} giây.”
- E3 — VIEWER gọi API: `403`.
- E4 — Node không tồn tại: `404`.</t>
        </is>
      </c>
      <c r="N12" s="10" t="inlineStr">
        <is>
          <t>có thêm một bản ghi quét và snapshot mới; sự cố được đánh giá lại ngay.</t>
        </is>
      </c>
      <c r="O12" s="10" t="inlineStr"/>
      <c r="P12" s="10" t="inlineStr">
        <is>
          <t>TC-MON-API-001…008, TC-MON-E2E-001…003</t>
        </is>
      </c>
      <c r="Q12" s="10" t="inlineStr">
        <is>
          <t>UC-03_monitoring.md</t>
        </is>
      </c>
    </row>
    <row r="13">
      <c r="A13" s="10" t="n">
        <v>12</v>
      </c>
      <c r="B13" s="10" t="inlineStr">
        <is>
          <t>UC-MON-03</t>
        </is>
      </c>
      <c r="C13" s="10" t="inlineStr">
        <is>
          <t>Xử lý node không truy cập được</t>
        </is>
      </c>
      <c r="D13" s="10" t="inlineStr">
        <is>
          <t>Monitoring</t>
        </is>
      </c>
      <c r="E13" s="10" t="inlineStr">
        <is>
          <t>Worker giám sát (hệ thống)</t>
        </is>
      </c>
      <c r="F13" s="10" t="inlineStr">
        <is>
          <t>Incident, Notification, Realtime, Kỹ sư vận hành</t>
        </is>
      </c>
      <c r="G13" s="10" t="inlineStr"/>
      <c r="H13" s="10" t="inlineStr"/>
      <c r="I13" s="10" t="inlineStr">
        <is>
          <t>Kết nối SSH thất bại sau các lần retry nội bộ</t>
        </is>
      </c>
      <c r="J13" s="10" t="inlineStr"/>
      <c r="K13" s="10" t="inlineStr">
        <is>
          <t>1. Worker thử kết nối; gặp lỗi (timeout, từ chối, xác thực sai).
2. Worker retry tối đa 2 lần trong cùng message với backoff ngắn.
3. Vẫn thất bại ⇒ phân loại `failureKind` (`ConnectTimeout`, `AuthFailed`, `HostKeyMismatch`, `CommandTimeout`, `Unknown`).
4. Worker ghi `CheckRuns` (`outcome = Failed`) và phát `NodeUnreachableV1` với thông điệp đã lọc sạch credential.
5. Incident mở sự cố tương ứng (`NODE_UNREACHABLE`, `AUTH_FAILED`, `HOST_KEY_MISMATCH`) mức CRITICAL ngay lần đầu.
6. Notification gửi cảnh báo tới các kênh phù hợp; Realtime đẩy `NodeStatusChanged`; Metrics đặt `status = UNREACHABLE`.
7. Kỹ sư vận hành nhận cảnh báo, kiểm tra máy chủ.
8. Khi máy chủ hoạt động trở lại, lần quét kế tiếp thành công ⇒ Incident tự đóng sự cố (UC-INC-04), Realtime cập nhật trạng thái.</t>
        </is>
      </c>
      <c r="L13" s="10" t="inlineStr">
        <is>
          <t>- A1 — Sai xác thực do đổi mật khẩu trên máy chủ: ADMIN cập nhật credential (UC-INV-02/A1); sự cố đóng khi quét thành công.
- A2 — Máy chủ ngừng vĩnh viễn: ADMIN tắt giám sát hoặc xóa node; sự cố được đóng theo BR-INV-005.</t>
        </is>
      </c>
      <c r="M13" s="10" t="inlineStr">
        <is>
          <t>- E1 — Toàn bộ node cùng lỗi (mất mạng/firewall): số sự cố tăng đột biến → Notification gom thành thông báo digest (FR-NTF-020) và cảnh báo vận hành `SoeScanCoverageLow`.
- E2 — Lỗi chập chờn: nhờ hysteresis và auto-resolve, sự cố `NODE_UNREACHABLE` đóng ngay khi quét lại thành công, tránh nhiễu.</t>
        </is>
      </c>
      <c r="N13" s="10" t="inlineStr">
        <is>
          <t>mọi lần quét thất bại đều có dấu vết chẩn đoán và đúng một sự cố mở cho mỗi node.</t>
        </is>
      </c>
      <c r="O13" s="10" t="inlineStr">
        <is>
          <t>BR: BR-INC-001, BR-MON-007; NFR: NFR-AVL-005</t>
        </is>
      </c>
      <c r="P13" s="10" t="inlineStr">
        <is>
          <t>TC-MON-INT-013…020, TC-INC-INT-010…014, TC-NTF-INT-008</t>
        </is>
      </c>
      <c r="Q13" s="10" t="inlineStr">
        <is>
          <t>UC-03_monitoring.md</t>
        </is>
      </c>
    </row>
    <row r="14">
      <c r="A14" s="10" t="n">
        <v>13</v>
      </c>
      <c r="B14" s="10" t="inlineStr">
        <is>
          <t>UC-MET-01</t>
        </is>
      </c>
      <c r="C14" s="10" t="inlineStr">
        <is>
          <t>Xem dashboard tổng quan</t>
        </is>
      </c>
      <c r="D14" s="10" t="inlineStr">
        <is>
          <t>Metrics</t>
        </is>
      </c>
      <c r="E14" s="10" t="inlineStr">
        <is>
          <t>VIEWER / OPERATOR / ADMIN</t>
        </is>
      </c>
      <c r="F14" s="10" t="inlineStr">
        <is>
          <t>Metrics, Incident, Monitoring, Realtime</t>
        </is>
      </c>
      <c r="G14" s="10" t="inlineStr">
        <is>
          <t>Must</t>
        </is>
      </c>
      <c r="H14" s="10" t="inlineStr">
        <is>
          <t>liên tục trong giờ làm việc</t>
        </is>
      </c>
      <c r="I14" s="10" t="inlineStr">
        <is>
          <t>Người dùng mở `/app/dashboard` (trang mặc định sau đăng nhập)</t>
        </is>
      </c>
      <c r="J14" s="10" t="inlineStr">
        <is>
          <t>Người dùng đã đăng nhập</t>
        </is>
      </c>
      <c r="K14" s="10" t="inlineStr">
        <is>
          <t>1. Frontend tải song song: `GET /metrics/health-summary`, `GET /metrics/latest`, `GET /incidents?status=OPEN&amp;pageSize=5`, `GET /monitoring/status` (tối đa 6 request — NFR-PERF).
2. Trong lúc chờ, hiển thị skeleton giữ đúng bố cục (tránh CLS).
3. Hệ thống hiển thị:
4. Frontend mở kết nối SignalR, tham gia nhóm `all-nodes`.
5. Mỗi khi có `MetricCollected`, cập nhật trực tiếp cache (không gọi lại API); có `IncidentOpened` thì cập nhật bộ đếm và danh sách, hiện toast.</t>
        </is>
      </c>
      <c r="L14" s="10" t="inlineStr">
        <is>
          <t>- A1 — Mất kết nối realtime: hiện chỉ báo “Đang kết nối lại”; sau 30 giây chuyển sang polling 30 giây (BR-RTM-003).
- A2 — Dữ liệu cũ: node có `isStale = true` hiển thị nhãn “Dữ liệu cũ · {thời điểm}”.
- A3 — Chưa có node nào: hiển thị trạng thái rỗng kèm hướng dẫn “Thêm máy chủ đầu tiên” (nút chỉ hiện với ADMIN).
- A4 — Tab bị ẩn &gt; 5 phút: tạm dừng cập nhật biểu đồ; khi quay lại thì đồng bộ bằng một lần gọi API.</t>
        </is>
      </c>
      <c r="M14" s="10" t="inlineStr">
        <is>
          <t>- E1 — API lỗi 5xx: hiển thị khối lỗi kèm nút “Thử lại”; các khối khác vẫn hiển thị bình thường.
- E2 — Token hết hạn: tự refresh (UC-IDN-02); người dùng không bị gián đoạn.
- E3 — Hệ thống đang bảo trì: hiện thông báo bảo trì, chỉ cho phép xem.</t>
        </is>
      </c>
      <c r="N14" s="10" t="inlineStr">
        <is>
          <t>người dùng thấy tình trạng toàn hệ thống trong ≤ 2,5 giây kể từ khi mở trang.</t>
        </is>
      </c>
      <c r="O14" s="10" t="inlineStr">
        <is>
          <t>NFR: NFR-PERF-003, 020, 021, 022; NFR-USA-002, 004</t>
        </is>
      </c>
      <c r="P14" s="10" t="inlineStr">
        <is>
          <t>TC-MET-API-001…006, TC-MET-E2E-001…005, TC-MET-PERF-001…003</t>
        </is>
      </c>
      <c r="Q14" s="10" t="inlineStr">
        <is>
          <t>UC-04_metrics.md</t>
        </is>
      </c>
    </row>
    <row r="15">
      <c r="A15" s="10" t="n">
        <v>14</v>
      </c>
      <c r="B15" s="10" t="inlineStr">
        <is>
          <t>UC-MET-02</t>
        </is>
      </c>
      <c r="C15" s="10" t="inlineStr">
        <is>
          <t>Xem lịch sử chỉ số một node</t>
        </is>
      </c>
      <c r="D15" s="10" t="inlineStr">
        <is>
          <t>Metrics</t>
        </is>
      </c>
      <c r="E15" s="10" t="inlineStr">
        <is>
          <t>VIEWER+</t>
        </is>
      </c>
      <c r="F15" s="10" t="inlineStr"/>
      <c r="G15" s="10" t="inlineStr"/>
      <c r="H15" s="10" t="inlineStr"/>
      <c r="I15" s="10" t="inlineStr">
        <is>
          <t>Người dùng bấm tên node ở danh sách, mở `/app/nodes/{id}`</t>
        </is>
      </c>
      <c r="J15" s="10" t="inlineStr">
        <is>
          <t>node tồn tại</t>
        </is>
      </c>
      <c r="K15" s="10" t="inlineStr">
        <is>
          <t>1. Frontend gọi `GET /nodes/{id}`, `GET /nodes/{id}/metrics?range=24h`, `GET /nodes/{id}/metrics/summary`, `GET /incidents?nodeId={id}`.
2. Hệ thống hiển thị: thông tin node, chỉ số hiện tại, biểu đồ đường CPU/RAM/Disk 24 giờ có đường ngưỡng cảnh báo/nguy cấp, tóm tắt (trung bình/đỉnh 24h, xu hướng đĩa, dự báo đầy đĩa), danh sách sự cố của node, bảng các lần quét gần đây.
3. Người dùng đổi dải thời gian (1h / 24h / 7d / 30d); frontend gọi lại API với `range` tương ứng, giữ dữ liệu cũ làm nền (`keepPreviousData`).
4. Backend tự chọn nguồn: ≤ 24h dùng snapshot thô, &gt; 24h dùng rollup theo giờ; trả tối đa 500 điểm kèm `resolution`.
5. Frontend vẽ biểu đồ; tooltip hiển thị thời gian theo múi giờ người dùng và giá trị trung bình/đỉnh.
6. SignalR `SubscribeNode(nodeId)`: điểm dữ liệu mới được nối vào biểu đồ 1h theo thời gian thực.</t>
        </is>
      </c>
      <c r="L15" s="10" t="inlineStr">
        <is>
          <t>- A1 — Node chưa có dữ liệu: hiển thị trạng thái rỗng “Chưa có dữ liệu giám sát” + nút “Kiểm tra ngay” (OPERATOR+).
- A2 — Khoảng tùy chỉnh: người dùng chọn `from`/`to`; hệ thống áp dụng giới hạn 90 ngày.
- A3 — Một metric bị tắt giám sát: biểu đồ tương ứng hiển thị thông báo “Đang không giám sát {metric}”.</t>
        </is>
      </c>
      <c r="M15" s="10" t="inlineStr">
        <is>
          <t>- E1 — Node không tồn tại/đã xóa: `404`; hiển thị “Không tìm thấy máy chủ” + nút quay lại danh sách.
- E2 — Dải thời gian quá lớn: `400 SOE-MET-400`; frontend chặn từ trước và giải thích giới hạn 90 ngày.
- E3 — Có điểm `null`: biểu đồ ngắt đường, tooltip ghi “Không thu được dữ liệu” (BR-MET-001).
- E4 — Rời trang khi đang tải: hủy request (AbortController), không cập nhật state.</t>
        </is>
      </c>
      <c r="N15" s="10" t="inlineStr">
        <is>
          <t>người dùng thấy xu hướng tài nguyên theo dải thời gian đã chọn.</t>
        </is>
      </c>
      <c r="O15" s="10" t="inlineStr">
        <is>
          <t>NFR: NFR-PERF-004, NFR-SCL-007</t>
        </is>
      </c>
      <c r="P15" s="10" t="inlineStr">
        <is>
          <t>TC-MET-API-007…018, TC-MET-E2E-006…010</t>
        </is>
      </c>
      <c r="Q15" s="10" t="inlineStr">
        <is>
          <t>UC-04_metrics.md</t>
        </is>
      </c>
    </row>
    <row r="16">
      <c r="A16" s="10" t="n">
        <v>15</v>
      </c>
      <c r="B16" s="10" t="inlineStr">
        <is>
          <t>UC-MET-03</t>
        </is>
      </c>
      <c r="C16" s="10" t="inlineStr">
        <is>
          <t>Xuất dữ liệu chỉ số</t>
        </is>
      </c>
      <c r="D16" s="10" t="inlineStr">
        <is>
          <t>Metrics</t>
        </is>
      </c>
      <c r="E16" s="10" t="inlineStr">
        <is>
          <t>OPERATOR hoặc ADMIN</t>
        </is>
      </c>
      <c r="F16" s="10" t="inlineStr"/>
      <c r="G16" s="10" t="inlineStr"/>
      <c r="H16" s="10" t="inlineStr"/>
      <c r="I16" s="10" t="inlineStr">
        <is>
          <t>Người dùng bấm “Xuất CSV” ở trang Node Detail</t>
        </is>
      </c>
      <c r="J16" s="10" t="inlineStr"/>
      <c r="K16" s="10" t="inlineStr">
        <is>
          <t>1. Người dùng chọn khoảng thời gian và bấm “Xuất CSV”.
2. Hệ thống hiển thị hộp thoại xác nhận kèm số dòng ước tính.
3. Frontend gọi `GET /nodes/{id}/metrics/export?from=&amp;to=`.
4. Metrics xuất theo luồng (streaming) CSV với `Content-Disposition`, tối đa 100.000 dòng.
5. Trình duyệt tải tệp; Audit ghi `METRICS_EXPORTED`.</t>
        </is>
      </c>
      <c r="L16" s="10" t="inlineStr"/>
      <c r="M16" s="10" t="inlineStr">
        <is>
          <t>- E1 — Vượt giới hạn dòng: `400` kèm thông báo đề nghị thu hẹp khoảng thời gian.
- E2 — VIEWER thao tác: không thấy nút; gọi API nhận `403`.
- E3 — Kết nối gián đoạn khi tải: người dùng tải lại; hệ thống không giữ trạng thái dở dang.</t>
        </is>
      </c>
      <c r="N16" s="10" t="inlineStr">
        <is>
          <t>tệp CSV được tải về; hành động có dấu vết kiểm toán.</t>
        </is>
      </c>
      <c r="O16" s="10" t="inlineStr"/>
      <c r="P16" s="10" t="inlineStr">
        <is>
          <t>TC-MET-API-019…022, TC-AUD-INT-006</t>
        </is>
      </c>
      <c r="Q16" s="10" t="inlineStr">
        <is>
          <t>UC-04_metrics.md</t>
        </is>
      </c>
    </row>
    <row r="17">
      <c r="A17" s="10" t="n">
        <v>16</v>
      </c>
      <c r="B17" s="10" t="inlineStr">
        <is>
          <t>UC-INC-01</t>
        </is>
      </c>
      <c r="C17" s="10" t="inlineStr">
        <is>
          <t>Phát hiện và mở sự cố</t>
        </is>
      </c>
      <c r="D17" s="10" t="inlineStr">
        <is>
          <t>Incident</t>
        </is>
      </c>
      <c r="E17" s="10" t="inlineStr">
        <is>
          <t>Incident Service (hệ thống)</t>
        </is>
      </c>
      <c r="F17" s="10" t="inlineStr">
        <is>
          <t>Monitoring, Notification, Realtime, Audit</t>
        </is>
      </c>
      <c r="G17" s="10" t="inlineStr">
        <is>
          <t>Must</t>
        </is>
      </c>
      <c r="H17" s="10" t="inlineStr">
        <is>
          <t>mỗi snapshot (≈ 500 lần/chu kỳ)</t>
        </is>
      </c>
      <c r="I17" s="10" t="inlineStr">
        <is>
          <t>Nhận `MetricCollectedV1`</t>
        </is>
      </c>
      <c r="J17" s="10" t="inlineStr">
        <is>
          <t>Có chính sách ngưỡng đang bật cho loại metric tương ứng</t>
        </is>
      </c>
      <c r="K17" s="10" t="inlineStr">
        <is>
          <t>1. Incident nhận `MetricCollectedV1`, bỏ qua nếu `collectedAt` cũ hơn `lastProcessedAt` của node/metric.
2. Xác định chính sách áp dụng: override theo node (nếu có) → chính sách toàn cục.
3. Với mỗi metric có giá trị khác `null`, xác định mức: `NORMAL` / `WARNING` / `CRITICAL`.
4. Mức khác `NORMAL` ⇒ tăng `breachStreak`, đặt `recoveryStreak = 0`.
5. Nếu đã có sự cố chưa đóng cùng `(nodeId, type)`: tăng `occurrenceCount`, cập nhật `lastSeenAt` và `metricValue` — không tạo bản ghi mới.
6. Nếu chưa có và `breachStreak ≥ consecutiveBreaches`: mở sự cố mới với mô tả tiếng Việt theo mẫu, phát `IncidentOpenedV1` qua outbox.
7. Notification chọn kênh theo severity và bộ lọc node, gửi cảnh báo (UC-NTF-01).
8. Realtime đẩy `IncidentOpened`; Audit ghi nhận; Dashboard cập nhật bộ đếm.</t>
        </is>
      </c>
      <c r="L17" s="10" t="inlineStr">
        <is>
          <t>- A1 — Nâng cấp mức độ: sự cố đang WARNING mà giá trị vượt ngưỡng CRITICAL ⇒ nâng severity, phát `IncidentEscalatedV1`, gửi cảnh báo lại (không bị throttle chặn).
- A2 — Node không liên lạc được: nhận `NodeUnreachableV1` ⇒ mở sự cố ngay lần đầu, không cần chuỗi breach.
- A3 — Metric bị tắt đánh giá: bỏ qua hoàn toàn.
- A4 — Nhiều metric cùng vượt ngưỡng: mỗi loại một sự cố riêng (`CPU_HIGH`, `DISK_HIGH`…), gửi cảnh báo riêng.</t>
        </is>
      </c>
      <c r="M17" s="10" t="inlineStr">
        <is>
          <t>- E1 — Message trùng lặp: inbox idempotency ⇒ không tăng `occurrenceCount` hai lần.
- E2 — Xung đột đồng thời hai snapshot cùng node: optimistic concurrency, retry; ràng buộc unique ở DB bảo đảm chỉ một sự cố mở.
- E3 — Giá trị vượt ngưỡng nhưng chưa đủ số lần liên tiếp: chỉ tăng `breachStreak`, chưa mở sự cố (chống nhiễu tức thời).
- E4 — Node vừa bị xóa: bỏ qua message, không mở sự cố.</t>
        </is>
      </c>
      <c r="N17" s="10" t="inlineStr">
        <is>
          <t>tối đa một sự cố chưa đóng cho mỗi `(node, loại)`; cảnh báo được đưa vào hàng đợi.</t>
        </is>
      </c>
      <c r="O17" s="10" t="inlineStr">
        <is>
          <t>BR: BR-INC-001, 006, 008; NFR: NFR-AVL-003, NFR-PERF-010</t>
        </is>
      </c>
      <c r="P17" s="10" t="inlineStr">
        <is>
          <t>TC-INC-UNIT-001…012, TC-INC-INT-001…009</t>
        </is>
      </c>
      <c r="Q17" s="10" t="inlineStr">
        <is>
          <t>UC-05_incident.md</t>
        </is>
      </c>
    </row>
    <row r="18">
      <c r="A18" s="10" t="n">
        <v>17</v>
      </c>
      <c r="B18" s="10" t="inlineStr">
        <is>
          <t>UC-INC-02</t>
        </is>
      </c>
      <c r="C18" s="10" t="inlineStr">
        <is>
          <t>Xác nhận xử lý sự cố (Acknowledge)</t>
        </is>
      </c>
      <c r="D18" s="10" t="inlineStr">
        <is>
          <t>Incident</t>
        </is>
      </c>
      <c r="E18" s="10" t="inlineStr">
        <is>
          <t>OPERATOR / ADMIN</t>
        </is>
      </c>
      <c r="F18" s="10" t="inlineStr"/>
      <c r="G18" s="10" t="inlineStr"/>
      <c r="H18" s="10" t="inlineStr"/>
      <c r="I18" s="10" t="inlineStr">
        <is>
          <t>Người dùng bấm “Xác nhận xử lý” trong danh sách hoặc chi tiết sự cố</t>
        </is>
      </c>
      <c r="J18" s="10" t="inlineStr">
        <is>
          <t>sự cố ở trạng thái `OPEN`</t>
        </is>
      </c>
      <c r="K18" s="10" t="inlineStr">
        <is>
          <t>1. Hệ thống mở hộp thoại cho phép nhập ghi chú (≤ 500 ký tự, không bắt buộc).
2. Người dùng xác nhận; frontend cập nhật optimistic và gọi `PUT /incidents/{id}/acknowledge`.
3. Incident kiểm tra trạng thái `OPEN`, chuyển sang `ACKNOWLEDGED`, ghi `IncidentEvents`, phát `IncidentAcknowledgedV1`.
4. Realtime đẩy cập nhật cho mọi người đang xem; Audit ghi `INCIDENT_ACKNOWLEDGED`.
5. Frontend hiển thị trạng thái mới kèm tên người xác nhận và thời điểm.</t>
        </is>
      </c>
      <c r="L18" s="10" t="inlineStr"/>
      <c r="M18" s="10" t="inlineStr">
        <is>
          <t>- E1 — Sự cố đã được người khác xác nhận/đóng: `409 SOE-INC-409`; frontend rollback optimistic và làm mới dữ liệu, hiện thông báo “Sự cố đã được {tên} xử lý.”
- E2 — VIEWER thao tác: không thấy nút; gọi API nhận `403`.
- E3 — Sự cố không tồn tại: `404`.</t>
        </is>
      </c>
      <c r="N18" s="10" t="inlineStr">
        <is>
          <t>sự cố có người phụ trách rõ ràng; cảnh báo lặp vẫn tính vào `occurrenceCount` nhưng không đổi trạng thái.</t>
        </is>
      </c>
      <c r="O18" s="10" t="inlineStr">
        <is>
          <t>BR: BR-INC-003</t>
        </is>
      </c>
      <c r="P18" s="10" t="inlineStr">
        <is>
          <t>TC-INC-API-001…006, TC-INC-E2E-001…003</t>
        </is>
      </c>
      <c r="Q18" s="10" t="inlineStr">
        <is>
          <t>UC-05_incident.md</t>
        </is>
      </c>
    </row>
    <row r="19">
      <c r="A19" s="10" t="n">
        <v>18</v>
      </c>
      <c r="B19" s="10" t="inlineStr">
        <is>
          <t>UC-INC-03</t>
        </is>
      </c>
      <c r="C19" s="10" t="inlineStr">
        <is>
          <t>Đóng sự cố (Resolve)</t>
        </is>
      </c>
      <c r="D19" s="10" t="inlineStr">
        <is>
          <t>Incident</t>
        </is>
      </c>
      <c r="E19" s="10" t="inlineStr">
        <is>
          <t>OPERATOR / ADMIN</t>
        </is>
      </c>
      <c r="F19" s="10" t="inlineStr"/>
      <c r="G19" s="10" t="inlineStr"/>
      <c r="H19" s="10" t="inlineStr"/>
      <c r="I19" s="10" t="inlineStr">
        <is>
          <t>Người dùng bấm “Đóng sự cố”</t>
        </is>
      </c>
      <c r="J19" s="10" t="inlineStr">
        <is>
          <t>Sự cố ở trạng thái `OPEN` hoặc `ACKNOWLEDGED`</t>
        </is>
      </c>
      <c r="K19" s="10" t="inlineStr">
        <is>
          <t>1. Hệ thống mở hộp thoại yêu cầu mô tả hành động xử lý (bắt buộc, 3–1000 ký tự).
2. Người dùng nhập nội dung và xác nhận; frontend validate rồi gọi `PUT /incidents/{id}/resolve`.
3. Incident chuyển trạng thái `RESOLVED`, ghi `resolvedAt`, `resolvedBy`, `resolvedSource = USER`, `resolutionAction`; ghi `IncidentEvents`; phát `IncidentResolvedV1`.
4. Notification gửi thông báo “đã đóng” tới các kênh bật tùy chọn này; Realtime cập nhật; Audit ghi `INCIDENT_RESOLVED`.
5. Frontend chuyển sự cố sang nhóm đã xử lý, cập nhật bộ đếm trên Dashboard, hiện toast.</t>
        </is>
      </c>
      <c r="L19" s="10" t="inlineStr">
        <is>
          <t>- A1 — Sự cố tái phát sau khi đóng: lần breach kế tiếp mở sự cố mới (lịch sử cũ được giữ nguyên để phân tích).
- A2 — Đóng hàng loạt: chọn nhiều sự cố và đóng cùng một lý do (Could).</t>
        </is>
      </c>
      <c r="M19" s="10" t="inlineStr">
        <is>
          <t>- E1 — Sự cố đã đóng: `409`; hiện thông báo và làm mới danh sách.
- E2 — Thiếu nội dung xử lý: frontend chặn; nếu gọi thẳng API thì `400` với `errors.resolutionAction`.
- E3 — Nguyên nhân chưa được khắc phục: chu kỳ quét kế tiếp mở sự cố mới → người dùng thấy sự cố quay lại (hành vi đúng theo thiết kế).</t>
        </is>
      </c>
      <c r="N19" s="10" t="inlineStr">
        <is>
          <t>sự cố đóng kèm mô tả xử lý phục vụ tra cứu và tính MTTR.</t>
        </is>
      </c>
      <c r="O19" s="10" t="inlineStr">
        <is>
          <t>BR: BR-INC-003, 004, 007</t>
        </is>
      </c>
      <c r="P19" s="10" t="inlineStr">
        <is>
          <t>TC-INC-API-007…014, TC-INC-E2E-004…006</t>
        </is>
      </c>
      <c r="Q19" s="10" t="inlineStr">
        <is>
          <t>UC-05_incident.md</t>
        </is>
      </c>
    </row>
    <row r="20">
      <c r="A20" s="10" t="n">
        <v>19</v>
      </c>
      <c r="B20" s="10" t="inlineStr">
        <is>
          <t>UC-INC-04</t>
        </is>
      </c>
      <c r="C20" s="10" t="inlineStr">
        <is>
          <t>Tự động đóng sự cố khi hồi phục</t>
        </is>
      </c>
      <c r="D20" s="10" t="inlineStr">
        <is>
          <t>Incident</t>
        </is>
      </c>
      <c r="E20" s="10" t="inlineStr">
        <is>
          <t>Incident Service (hệ thống)</t>
        </is>
      </c>
      <c r="F20" s="10" t="inlineStr"/>
      <c r="G20" s="10" t="inlineStr"/>
      <c r="H20" s="10" t="inlineStr"/>
      <c r="I20" s="10" t="inlineStr">
        <is>
          <t>Nhận snapshot có giá trị đã hồi phục, hoặc node liên lạc lại được</t>
        </is>
      </c>
      <c r="J20" s="10" t="inlineStr"/>
      <c r="K20" s="10" t="inlineStr">
        <is>
          <t>1. Nhận `MetricCollectedV1` với giá trị &lt; `ngưỡng − recoveryMargin` (mặc định thấp hơn 5 điểm %).
2. Tăng `recoveryStreak`, đặt `breachStreak = 0`.
3. Khi `recoveryStreak ≥ consecutiveRecoveries` (mặc định 2) và tồn tại sự cố chưa đóng:
4. Notification gửi thông báo hồi phục (nếu kênh bật); Realtime cập nhật; Audit ghi `INCIDENT_AUTO_RESOLVED`.</t>
        </is>
      </c>
      <c r="L20" s="10" t="inlineStr">
        <is>
          <t>- A1 — Node liên lạc lại được: nhận `MetricCollectedV1` thành công ⇒ đóng ngay sự cố `NODE_UNREACHABLE` (không cần chuỗi hồi phục).
- A2 — Node bị tắt giám sát/xóa: đóng mọi sự cố chưa đóng với lý do hệ thống.</t>
        </is>
      </c>
      <c r="M20" s="10" t="inlineStr">
        <is>
          <t>- E1 — Giá trị dao động quanh ngưỡng: nhờ `recoveryMargin` + `consecutiveRecoveries`, sự cố không đóng/mở liên tục (chống flapping).
- E2 — Sự cố đã được người dùng đóng trước: bỏ qua, không thay đổi bản ghi.</t>
        </is>
      </c>
      <c r="N20" s="10" t="inlineStr">
        <is>
          <t>danh sách sự cố mở phản ánh đúng tình trạng thực tế mà không cần thao tác thủ công.</t>
        </is>
      </c>
      <c r="O20" s="10" t="inlineStr">
        <is>
          <t>BR: BR-INC-004, 007</t>
        </is>
      </c>
      <c r="P20" s="10" t="inlineStr">
        <is>
          <t>TC-INC-UNIT-013…020, TC-INC-INT-010…016</t>
        </is>
      </c>
      <c r="Q20" s="10" t="inlineStr">
        <is>
          <t>UC-05_incident.md</t>
        </is>
      </c>
    </row>
    <row r="21">
      <c r="A21" s="10" t="n">
        <v>20</v>
      </c>
      <c r="B21" s="10" t="inlineStr">
        <is>
          <t>UC-INC-05</t>
        </is>
      </c>
      <c r="C21" s="10" t="inlineStr">
        <is>
          <t>Cấu hình ngưỡng cảnh báo</t>
        </is>
      </c>
      <c r="D21" s="10" t="inlineStr">
        <is>
          <t>Incident</t>
        </is>
      </c>
      <c r="E21" s="10" t="inlineStr">
        <is>
          <t>ADMIN</t>
        </is>
      </c>
      <c r="F21" s="10" t="inlineStr"/>
      <c r="G21" s="10" t="inlineStr"/>
      <c r="H21" s="10" t="inlineStr"/>
      <c r="I21" s="10" t="inlineStr">
        <is>
          <t>ADMIN mở màn hình `SystemConfig` mục “Ngưỡng cảnh báo”, hoặc mục ngưỡng riêng của một node</t>
        </is>
      </c>
      <c r="J21" s="10" t="inlineStr">
        <is>
          <t>đăng nhập vai trò ADMIN</t>
        </is>
      </c>
      <c r="K21" s="10" t="inlineStr">
        <is>
          <t>1. Hệ thống hiển thị chính sách hiện tại cho CPU / RAM / Disk: ngưỡng cảnh báo, ngưỡng nguy cấp, số lần liên tiếp, biên hồi phục, số lần hồi phục, bật/tắt.
2. ADMIN chỉnh giá trị; frontend validate ngay (`warning &lt; critical`, phạm vi hợp lệ).
3. (Tùy chọn) Hệ thống hiển thị xem trước: “Với dữ liệu 24 giờ qua, cấu hình này sẽ tạo N sự cố.”
4. ADMIN bấm “Lưu”, xác nhận trong hộp thoại nêu hệ quả.
5. Frontend gọi `PUT /threshold-policies/global` (hoặc `/nodes/{nodeId}`).
6. Incident lưu chính sách; áp dụng từ snapshot kế tiếp, không hồi tố sự cố đang mở.
7. Audit ghi `THRESHOLD_POLICY_UPDATED` kèm giá trị trước/sau; Frontend hiện toast.</t>
        </is>
      </c>
      <c r="L21" s="10" t="inlineStr">
        <is>
          <t>- A1 — Ghi đè theo node: ADMIN mở node cụ thể và đặt chính sách riêng; có nút “Gỡ ghi đè” để quay về chính sách toàn cục.
- A2 — Tắt đánh giá một loại metric: các sự cố đang mở của loại đó được đóng với lý do hệ thống.</t>
        </is>
      </c>
      <c r="M21" s="10" t="inlineStr">
        <is>
          <t>- E1 — `warning ≥ critical`: `400 SOE-INC-400`; frontend chặn từ trước.
- E2 — Giá trị ngoài phạm vi (0, 150, chữ): `400` kèm lỗi theo field.
- E3 — Không phải ADMIN: `403`.
- E4 — Hai ADMIN sửa đồng thời: `409` (optimistic concurrency); người sau phải tải lại giá trị mới nhất.</t>
        </is>
      </c>
      <c r="N21" s="10" t="inlineStr">
        <is>
          <t>chính sách mới có hiệu lực ngay cho lần đánh giá kế tiếp mà không cần khởi động lại service.</t>
        </is>
      </c>
      <c r="O21" s="10" t="inlineStr">
        <is>
          <t>BR: BR-INC-002, 005; NFR: NFR-SEC-008, FR-GW-027</t>
        </is>
      </c>
      <c r="P21" s="10" t="inlineStr">
        <is>
          <t>TC-INC-API-015…024, TC-INC-E2E-007…009, TC-GW-SEC-011</t>
        </is>
      </c>
      <c r="Q21" s="10" t="inlineStr">
        <is>
          <t>UC-05_incident.md</t>
        </is>
      </c>
    </row>
    <row r="22">
      <c r="A22" s="10" t="n">
        <v>21</v>
      </c>
      <c r="B22" s="10" t="inlineStr">
        <is>
          <t>UC-NTF-01</t>
        </is>
      </c>
      <c r="C22" s="10" t="inlineStr">
        <is>
          <t>Gửi cảnh báo sự cố</t>
        </is>
      </c>
      <c r="D22" s="10" t="inlineStr">
        <is>
          <t>Notification</t>
        </is>
      </c>
      <c r="E22" s="10" t="inlineStr">
        <is>
          <t>Notification Service (hệ thống)</t>
        </is>
      </c>
      <c r="F22" s="10" t="inlineStr">
        <is>
          <t>SMTP server, Webhook endpoint, Audit, Realtime</t>
        </is>
      </c>
      <c r="G22" s="10" t="inlineStr">
        <is>
          <t>Must</t>
        </is>
      </c>
      <c r="H22" s="10" t="inlineStr">
        <is>
          <t>theo số sự cố</t>
        </is>
      </c>
      <c r="I22" s="10" t="inlineStr">
        <is>
          <t>Nhận `IncidentOpenedV1` / `IncidentEscalatedV1` / `IncidentResolvedV1`</t>
        </is>
      </c>
      <c r="J22" s="10" t="inlineStr">
        <is>
          <t>Có ít nhất một kênh đang bật; cấu hình SMTP hợp lệ (với kênh email)</t>
        </is>
      </c>
      <c r="K22" s="10" t="inlineStr">
        <is>
          <t>1. Notification nhận sự kiện sự cố.
2. Lấy danh sách kênh đang bật có `minSeverity ≤ severity` và khớp bộ lọc node/tag.
3. Với mỗi kênh, tính `deliveryId` và kiểm tra throttle (cùng sự cố + kênh + loại sự kiện trong 30 phút ⇒ bỏ qua, ghi `SKIPPED_THROTTLED`).
4. Dựng nội dung: email HTML tiếng Việt (bảng CPU/RAM/Disk có màu, khuyến nghị xử lý, liên kết sự cố) hoặc payload webhook theo `format`.
5. Gửi đi:
6. Ghi `DeliveryLogs` (`SENT`, `latencyMs`), phát `AlertDispatchedV1`; Audit ghi nhận.
7. Realtime đẩy thông báo tới giao diện người dùng đang mở (toast).</t>
        </is>
      </c>
      <c r="L22" s="10" t="inlineStr">
        <is>
          <t>- A1 — Nâng cấp mức độ: `IncidentEscalatedV1` bỏ qua throttle (người trực cần biết ngay).
- A2 — Thông báo khi đóng sự cố: chỉ gửi cho kênh bật `notifyOnResolve`.
- A3 — Bão sự cố: &gt; 20 sự cố trong 5 phút ⇒ gộp thành một email tổng hợp (digest).
- A4 — Kênh có bộ lọc node: chỉ gửi cho sự cố thuộc node/tag đã chọn.</t>
        </is>
      </c>
      <c r="M22" s="10" t="inlineStr">
        <is>
          <t>- E1 — Lỗi tạm thời (timeout, 5xx, SMTP 4xx): retry 3 lần backoff 1s → 4s → 16s.
- E2 — Thất bại hẳn: ghi `DeliveryLogs` trạng thái `FAILED` kèm lý do rút gọn, phát `AlertFailedV1`, message vào DLQ để vận hành xử lý.
- E3 — Kênh lỗi 10 lần liên tiếp: tự tắt kênh, phát `ChannelAutoDisabledV1`, thông báo ADMIN.
- E4 — Webhook trỏ IP nội bộ: chặn trước khi gửi (chống SSRF), ghi `FAILED` với lý do rõ ràng.
- E5 — Message xử lý lại: `deliveryId` trùng ⇒ không gửi lần hai (idempotent).
- E6 — Không có kênh nào phù hợp: ghi log mức Information; sự cố vẫn hiển thị trên giao diện.</t>
        </is>
      </c>
      <c r="N22" s="10" t="inlineStr">
        <is>
          <t>mỗi sự cố có bản ghi gửi rõ ràng cho từng kênh (thành công / thất bại / bị throttle).</t>
        </is>
      </c>
      <c r="O22" s="10" t="inlineStr">
        <is>
          <t>BR: BR-NTF-001…006; NFR: NFR-PERF-010, NFR-AVL-004, NFR-SEC-009</t>
        </is>
      </c>
      <c r="P22" s="10" t="inlineStr">
        <is>
          <t>TC-NTF-INT-001…012, TC-NTF-SEC-001…005</t>
        </is>
      </c>
      <c r="Q22" s="10" t="inlineStr">
        <is>
          <t>UC-06_notification.md</t>
        </is>
      </c>
    </row>
    <row r="23">
      <c r="A23" s="10" t="n">
        <v>22</v>
      </c>
      <c r="B23" s="10" t="inlineStr">
        <is>
          <t>UC-NTF-02</t>
        </is>
      </c>
      <c r="C23" s="10" t="inlineStr">
        <is>
          <t>Quản lý kênh cảnh báo</t>
        </is>
      </c>
      <c r="D23" s="10" t="inlineStr">
        <is>
          <t>Notification</t>
        </is>
      </c>
      <c r="E23" s="10" t="inlineStr">
        <is>
          <t>ADMIN</t>
        </is>
      </c>
      <c r="F23" s="10" t="inlineStr"/>
      <c r="G23" s="10" t="inlineStr"/>
      <c r="H23" s="10" t="inlineStr"/>
      <c r="I23" s="10" t="inlineStr">
        <is>
          <t>ADMIN mở màn hình `AlertChannels`</t>
        </is>
      </c>
      <c r="J23" s="10" t="inlineStr"/>
      <c r="K23" s="10" t="inlineStr">
        <is>
          <t>1. Hệ thống hiển thị danh sách kênh: tên, loại, đích nhận đã che (`o*@example.com`), mức tối thiểu, trạng thái, lần gửi gần nhất, tỷ lệ thành công 24 giờ.
2. ADMIN bấm “Thêm kênh”; chọn loại `EMAIL` hoặc `WEBHOOK`.
3. Form đổi trường theo loại: email → danh sách địa chỉ; webhook → URL, `format` (Slack/Teams/Discord/Generic), secret HMAC.
4. ADMIN đặt `minSeverity`, tùy chọn “thông báo khi đóng”, bộ lọc node/tag, trạng thái bật.
5. Frontend validate (HTTPS, không trỏ IP nội bộ, độ dài secret…).
6. Gọi `POST /alert-channels`; Notification mã hóa đích nhận và secret, lưu, trả `201`.
7. Audit ghi `CHANNEL_CREATED`; danh sách cập nhật, hiện toast.</t>
        </is>
      </c>
      <c r="L23" s="10" t="inlineStr">
        <is>
          <t>- A1 — Sửa kênh: để trống secret = giữ nguyên; `PUT /alert-channels/{id}`.
- A2 — Bật/tắt nhanh: `PUT /alert-channels/{id}/status`.
- A3 — Xóa kênh: hộp thoại xác nhận → `DELETE` → `204`.</t>
        </is>
      </c>
      <c r="M23" s="10" t="inlineStr">
        <is>
          <t>- E1 — Trùng tên kênh: `409 SOE-NTF-409`.
- E2 — URL không phải HTTPS hoặc trỏ mạng nội bộ: `422 SOE-NTF-422` (chặn SSRF).
- E3 — Email sai định dạng / quá 10 địa chỉ: `400` kèm lỗi theo field.
- E4 — Không phải ADMIN: `403`.</t>
        </is>
      </c>
      <c r="N23" s="10" t="inlineStr">
        <is>
          <t>kênh sẵn sàng nhận cảnh báo; secret không bao giờ đọc lại được qua API.</t>
        </is>
      </c>
      <c r="O23" s="10" t="inlineStr"/>
      <c r="P23" s="10" t="inlineStr">
        <is>
          <t>TC-NTF-API-001…014, TC-NTF-E2E-001…005</t>
        </is>
      </c>
      <c r="Q23" s="10" t="inlineStr">
        <is>
          <t>UC-06_notification.md</t>
        </is>
      </c>
    </row>
    <row r="24">
      <c r="A24" s="10" t="n">
        <v>23</v>
      </c>
      <c r="B24" s="10" t="inlineStr">
        <is>
          <t>UC-NTF-03</t>
        </is>
      </c>
      <c r="C24" s="10" t="inlineStr">
        <is>
          <t>Gửi thử kênh cảnh báo</t>
        </is>
      </c>
      <c r="D24" s="10" t="inlineStr">
        <is>
          <t>Notification</t>
        </is>
      </c>
      <c r="E24" s="10" t="inlineStr">
        <is>
          <t>ADMIN</t>
        </is>
      </c>
      <c r="F24" s="10" t="inlineStr"/>
      <c r="G24" s="10" t="inlineStr"/>
      <c r="H24" s="10" t="inlineStr"/>
      <c r="I24" s="10" t="inlineStr">
        <is>
          <t>ADMIN bấm “Gửi thử”</t>
        </is>
      </c>
      <c r="J24" s="10" t="inlineStr">
        <is>
          <t>kênh đã tồn tại (hoặc đang nhập trong modal)</t>
        </is>
      </c>
      <c r="K24" s="10" t="inlineStr">
        <is>
          <t>1. Frontend gọi `POST /alert-channels/{id}/test` (rate limit 5/phút).
2. Notification dựng thông điệp mẫu “Đây là thông báo thử từ Smart Ops Engine”.
3. Gửi qua kênh tương ứng với cùng cơ chế bảo mật như cảnh báo thật.
4. Trả `{ success, latencyMs, error }`; ghi `DeliveryLogs` và Audit `CHANNEL_TESTED`.
5. Frontend hiển thị kết quả ngay trong modal và khóa nút 12 giây.</t>
        </is>
      </c>
      <c r="L24" s="10" t="inlineStr"/>
      <c r="M24" s="10" t="inlineStr">
        <is>
          <t>- E1 — SMTP sai cấu hình: `503 SOE-NTF-503` với lý do (sai tài khoản, không kết nối được, TLS lỗi).
- E2 — Webhook trả 4xx/5xx: `success = false` kèm mã trạng thái nhận được.
- E3 — Gửi thử quá nhiều: `429`.
- E4 — URL nội bộ: bị chặn, trả lý do bảo mật.</t>
        </is>
      </c>
      <c r="N24" s="10" t="inlineStr">
        <is>
          <t>ADMIN biết chắc kênh hoạt động trước khi có sự cố thật.</t>
        </is>
      </c>
      <c r="O24" s="10" t="inlineStr"/>
      <c r="P24" s="10" t="inlineStr">
        <is>
          <t>TC-NTF-API-015…020, TC-NTF-SEC-006…008</t>
        </is>
      </c>
      <c r="Q24" s="10" t="inlineStr">
        <is>
          <t>UC-06_notification.md</t>
        </is>
      </c>
    </row>
    <row r="25">
      <c r="A25" s="10" t="n">
        <v>24</v>
      </c>
      <c r="B25" s="10" t="inlineStr">
        <is>
          <t>UC-NTF-04</t>
        </is>
      </c>
      <c r="C25" s="10" t="inlineStr">
        <is>
          <t>Báo cáo sức khỏe hằng ngày</t>
        </is>
      </c>
      <c r="D25" s="10" t="inlineStr">
        <is>
          <t>Notification</t>
        </is>
      </c>
      <c r="E25" s="10" t="inlineStr">
        <is>
          <t>Scheduler (hệ thống)</t>
        </is>
      </c>
      <c r="F25" s="10" t="inlineStr">
        <is>
          <t>Metrics, Incident, SMTP</t>
        </is>
      </c>
      <c r="G25" s="10" t="inlineStr"/>
      <c r="H25" s="10" t="inlineStr"/>
      <c r="I25" s="10" t="inlineStr">
        <is>
          <t>Đến giờ đã cấu hình (mặc định 08:00 giờ Việt Nam)</t>
        </is>
      </c>
      <c r="J25" s="10" t="inlineStr">
        <is>
          <t>Báo cáo hằng ngày đang bật; có kênh nhận báo cáo</t>
        </is>
      </c>
      <c r="K25" s="10" t="inlineStr">
        <is>
          <t>1. Job chạy trên một instance duy nhất (khóa phân tán).
2. Thu thập số liệu: số node đang giám sát, số node cảnh báo/nguy cấp/không liên lạc được, số sự cố đang mở, sự cố mới trong 24 giờ, số sự cố đã đóng, MTTR.
3. Dựng email HTML tiếng Việt kèm bảng tóm tắt và danh sách node đáng chú ý.
4. Gửi tới các kênh được đánh dấu “nhận báo cáo”.
5. Ghi `DeliveryLogs`, phát `DailyReportSentV1`, Audit ghi nhận.</t>
        </is>
      </c>
      <c r="L25" s="10" t="inlineStr">
        <is>
          <t>- A1 — Không có sự cố nào: báo cáo vẫn gửi với thông điệp “Hệ thống hoạt động bình thường”.
- A2 — ADMIN tắt báo cáo: job bỏ qua.</t>
        </is>
      </c>
      <c r="M25" s="10" t="inlineStr">
        <is>
          <t>- E1 — SMTP lỗi: retry theo chính sách chung; thất bại thì ghi `FAILED` và cảnh báo vận hành.
- E2 — Dịch vụ số liệu không phản hồi: báo cáo vẫn gửi với phần thiếu ghi “Không lấy được dữ liệu”, không bỏ hẳn báo cáo.</t>
        </is>
      </c>
      <c r="N25" s="10" t="inlineStr">
        <is>
          <t>các bên liên quan nhận được bức tranh tổng thể mỗi ngày.</t>
        </is>
      </c>
      <c r="O25" s="10" t="inlineStr"/>
      <c r="P25" s="10" t="inlineStr">
        <is>
          <t>TC-NTF-INT-013…016, TC-NTF-API-021</t>
        </is>
      </c>
      <c r="Q25" s="10" t="inlineStr">
        <is>
          <t>UC-06_notification.md</t>
        </is>
      </c>
    </row>
    <row r="26">
      <c r="A26" s="10" t="n">
        <v>25</v>
      </c>
      <c r="B26" s="10" t="inlineStr">
        <is>
          <t>UC-RTM-01</t>
        </is>
      </c>
      <c r="C26" s="10" t="inlineStr">
        <is>
          <t>Theo dõi cập nhật thời gian thực</t>
        </is>
      </c>
      <c r="D26" s="10" t="inlineStr">
        <is>
          <t>Realtime</t>
        </is>
      </c>
      <c r="E26" s="10" t="inlineStr">
        <is>
          <t>VIEWER / OPERATOR / ADMIN</t>
        </is>
      </c>
      <c r="F26" s="10" t="inlineStr">
        <is>
          <t>Realtime Service</t>
        </is>
      </c>
      <c r="G26" s="10" t="inlineStr">
        <is>
          <t>Must</t>
        </is>
      </c>
      <c r="H26" s="10" t="inlineStr">
        <is>
          <t>suốt phiên làm việc</t>
        </is>
      </c>
      <c r="I26" s="10" t="inlineStr">
        <is>
          <t>Ứng dụng khởi tạo sau khi đăng nhập</t>
        </is>
      </c>
      <c r="J26" s="10" t="inlineStr">
        <is>
          <t>Người dùng đã đăng nhập; trình duyệt hỗ trợ WebSocket</t>
        </is>
      </c>
      <c r="K26" s="10" t="inlineStr">
        <is>
          <t>1. Frontend mở kết nối tới `/hubs/monitoring` kèm access token, chỉ dùng transport WebSocket.
2. Realtime xác thực token, thêm kết nối vào nhóm `authenticated` (và `admins` nếu là ADMIN).
3. Frontend gọi `SubscribeAll()` khi ở Dashboard, `SubscribeNode(nodeId)` khi vào Node Detail.
4. Khi có sự kiện (metric mới, sự cố mở/nâng cấp/xác nhận/đóng, trạng thái node đổi), Realtime đẩy tới các nhóm tương ứng.
5. Frontend ghi dữ liệu vào cache React Query, cập nhật giao diện không nhấp nháy; sự cố mới hiện toast.
6. Chỉ báo “Trực tuyến” hiển thị ở header.</t>
        </is>
      </c>
      <c r="L26" s="10" t="inlineStr">
        <is>
          <t>- A1 — Rời trang node: gọi `UnsubscribeNode(nodeId)` để giảm lưu lượng.
- A2 — Kết nối lại: sau khi khôi phục, client nhận gói “trạng thái hiện tại” để đồng bộ dữ liệu đã bỏ lỡ.
- A3 — Tab ẩn lâu: tạm dừng cập nhật biểu đồ, đồng bộ lại khi quay lại.</t>
        </is>
      </c>
      <c r="M26" s="10" t="inlineStr">
        <is>
          <t>- E1 — Mất kết nối: tự kết nối lại với backoff `[0, 2s, 10s, 30s]`; quá 30 giây thì bật polling 30 giây và đổi chỉ báo sang “Đang kết nối lại”.
- E2 — Token hết hạn: server đóng kết nối; client refresh token rồi kết nối lại.
- E3 — Vượt 10 kết nối/người dùng: kết nối cũ nhất bị đóng, client đó chuyển sang polling.
- E4 — Redis backplane lỗi: mỗi instance vẫn phát cho client của mình; một phần cập nhật xuyên instance bị chậm (suy giảm có kiểm soát).
- E5 — WebSocket bị chặn bởi proxy doanh nghiệp: ứng dụng vẫn dùng được nhờ polling dự phòng.</t>
        </is>
      </c>
      <c r="N26" s="10" t="inlineStr">
        <is>
          <t>người dùng thấy dữ liệu mới trong ≤ 2 giây mà không cần tải lại trang; mất realtime không làm mất chức năng.</t>
        </is>
      </c>
      <c r="O26" s="10" t="inlineStr">
        <is>
          <t>BR: BR-RTM-001…005; NFR: NFR-PERF-011, NFR-SCL-004</t>
        </is>
      </c>
      <c r="P26" s="10" t="inlineStr">
        <is>
          <t>TC-RTM-INT-001…010, TC-RTM-E2E-001…006</t>
        </is>
      </c>
      <c r="Q26" s="10" t="inlineStr">
        <is>
          <t>UC-07_realtime_audit_config.md</t>
        </is>
      </c>
    </row>
    <row r="27">
      <c r="A27" s="10" t="n">
        <v>26</v>
      </c>
      <c r="B27" s="10" t="inlineStr">
        <is>
          <t>UC-AUD-01</t>
        </is>
      </c>
      <c r="C27" s="10" t="inlineStr">
        <is>
          <t>Tra cứu nhật ký kiểm toán</t>
        </is>
      </c>
      <c r="D27" s="10" t="inlineStr">
        <is>
          <t>Audit</t>
        </is>
      </c>
      <c r="E27" s="10" t="inlineStr">
        <is>
          <t>ADMIN</t>
        </is>
      </c>
      <c r="F27" s="10" t="inlineStr"/>
      <c r="G27" s="10" t="inlineStr"/>
      <c r="H27" s="10" t="inlineStr"/>
      <c r="I27" s="10" t="inlineStr">
        <is>
          <t>ADMIN mở màn hình `AuditLogs`, thường khi điều tra một thay đổi hoặc sự cố bảo mật</t>
        </is>
      </c>
      <c r="J27" s="10" t="inlineStr">
        <is>
          <t>đăng nhập vai trò ADMIN</t>
        </is>
      </c>
      <c r="K27" s="10" t="inlineStr">
        <is>
          <t>1. Hệ thống hiển thị nhật ký 7 ngày gần nhất, mới nhất trước, có phân trang.
2. ADMIN lọc theo khoảng thời gian, người thực hiện, hành động, loại đối tượng, hoặc tìm theo từ khóa (debounce 300 ms).
3. Frontend gọi `GET /audit-logs` với tham số lọc; bộ lọc được lưu trong URL để chia sẻ.
4. ADMIN mở một bản ghi để xem chi tiết: giá trị trước/sau dạng diff hai cột, trường nhạy cảm hiển thị `*`, kèm `correlationId`.
5. (Tùy chọn) ADMIN mở “Dòng thời gian của đối tượng” để xem toàn bộ thao tác trên một node/sự cố.
6. (Tùy chọn) ADMIN xuất CSV; hệ thống xác nhận số dòng và ghi `AUDIT_EXPORTED`.</t>
        </is>
      </c>
      <c r="L27" s="10" t="inlineStr">
        <is>
          <t>- A1 — Kiểm tra toàn vẹn: ADMIN gọi “Kiểm tra toàn vẹn” cho một khoảng thời gian; hệ thống xác minh chuỗi băm và báo `isIntact`.
- A2 — Truy vết theo correlationId: dán mã vào ô tìm kiếm để xem toàn bộ chuỗi thao tác của một request.</t>
        </is>
      </c>
      <c r="M27" s="10" t="inlineStr">
        <is>
          <t>- E1 — Khoảng thời gian &gt; 90 ngày: `400`; frontend chặn và giải thích giới hạn.
- E2 — Không phải ADMIN: không thấy mục menu; truy cập trực tiếp URL nhận `403`.
- E3 — Không có kết quả: hiển thị trạng thái rỗng kèm gợi ý nới lỏng bộ lọc.
- E4 — Phát hiện chuỗi băm gãy: hiển thị cảnh báo đỏ và hướng dẫn liên hệ đội bảo mật.</t>
        </is>
      </c>
      <c r="N27" s="10" t="inlineStr">
        <is>
          <t>ADMIN xác định được ai đã thay đổi gì và khi nào; chính hành động tra cứu cũng được ghi lại.</t>
        </is>
      </c>
      <c r="O27" s="10" t="inlineStr">
        <is>
          <t>BR: BR-AUD-001…006; NFR: NFR-SEC-012</t>
        </is>
      </c>
      <c r="P27" s="10" t="inlineStr">
        <is>
          <t>TC-AUD-API-001…012, TC-AUD-E2E-001…004, TC-AUD-SEC-001…003</t>
        </is>
      </c>
      <c r="Q27" s="10" t="inlineStr">
        <is>
          <t>UC-07_realtime_audit_config.md</t>
        </is>
      </c>
    </row>
    <row r="28">
      <c r="A28" s="10" t="n">
        <v>27</v>
      </c>
      <c r="B28" s="10" t="inlineStr">
        <is>
          <t>UC-GW-01</t>
        </is>
      </c>
      <c r="C28" s="10" t="inlineStr">
        <is>
          <t>Cấu hình hệ thống</t>
        </is>
      </c>
      <c r="D28" s="10" t="inlineStr">
        <is>
          <t>Gateway &amp; Config</t>
        </is>
      </c>
      <c r="E28" s="10" t="inlineStr">
        <is>
          <t>ADMIN</t>
        </is>
      </c>
      <c r="F28" s="10" t="inlineStr">
        <is>
          <t>Monitoring, Incident, Notification, Audit</t>
        </is>
      </c>
      <c r="G28" s="10" t="inlineStr"/>
      <c r="H28" s="10" t="inlineStr"/>
      <c r="I28" s="10" t="inlineStr">
        <is>
          <t>ADMIN mở màn hình `SystemConfig`</t>
        </is>
      </c>
      <c r="J28" s="10" t="inlineStr"/>
      <c r="K28" s="10" t="inlineStr">
        <is>
          <t>1. Frontend gọi `GET /api/v1/system-config`; gateway tổng hợp dữ liệu từ các service sở hữu.
2. Hệ thống hiển thị 4 nhóm: Giám sát, Ngưỡng cảnh báo, Email/SMTP, Báo cáo hằng ngày, cùng trạng thái phụ thuộc (DB, RabbitMQ, Redis, SMTP).
3. ADMIN chỉnh một nhóm và bấm “Lưu” của riêng nhóm đó.
4. Frontend validate, hiển thị hộp thoại xác nhận với thay đổi nhạy cảm (tắt scheduler, đổi ngưỡng).
5. Gọi endpoint tương ứng (`/system-config/scheduler`, `/threshold-policies/global`, `/system-config/smtp`, `/system-config/daily-report`).
6. Service sở hữu validate nghiệp vụ, lưu, áp dụng ngay (không cần khởi động lại).
7. Audit ghi lại giá trị trước/sau; frontend hiện toast và cập nhật giá trị từ response.</t>
        </is>
      </c>
      <c r="L28" s="10" t="inlineStr">
        <is>
          <t>- A1 — Kiểm tra SMTP trước khi lưu: ADMIN bấm “Kiểm tra kết nối SMTP”; chỉ lưu khi thành công (hoặc xác nhận lưu kèm cảnh báo).
- A2 — Tắt scheduler khẩn cấp: xác nhận hai bước; Dashboard hiển thị “Giám sát đang tạm dừng”.</t>
        </is>
      </c>
      <c r="M28" s="10" t="inlineStr">
        <is>
          <t>- E1 — Giá trị không hợp lệ (chu kỳ 10 giây, `warning ≥ critical`): `400` kèm lỗi theo field.
- E2 — Một service phụ thuộc không phản hồi: nhóm cấu hình đó hiển thị “Không tải được”, các nhóm khác vẫn dùng bình thường.
- E3 — Vai trò bị đổi giữa chừng: `403` ⇒ chuyển về Dashboard kèm thông báo.
- E4 — Hai ADMIN sửa cùng lúc: `409`, yêu cầu tải lại.</t>
        </is>
      </c>
      <c r="N28" s="10" t="inlineStr">
        <is>
          <t>cấu hình mới có hiệu lực ngay và có dấu vết kiểm toán.</t>
        </is>
      </c>
      <c r="O28" s="10" t="inlineStr">
        <is>
          <t>BR: BR-GW-005</t>
        </is>
      </c>
      <c r="P28" s="10" t="inlineStr">
        <is>
          <t>TC-GW-API-010…020, TC-GW-E2E-004…008</t>
        </is>
      </c>
      <c r="Q28" s="10" t="inlineStr">
        <is>
          <t>UC-07_realtime_audit_config.md</t>
        </is>
      </c>
    </row>
    <row r="29">
      <c r="A29" s="10" t="n">
        <v>28</v>
      </c>
      <c r="B29" s="10" t="inlineStr">
        <is>
          <t>UC-GW-02</t>
        </is>
      </c>
      <c r="C29" s="10" t="inlineStr">
        <is>
          <t>Chặn truy cập trái phép</t>
        </is>
      </c>
      <c r="D29" s="10" t="inlineStr">
        <is>
          <t>Gateway &amp; Config</t>
        </is>
      </c>
      <c r="E29" s="10" t="inlineStr">
        <is>
          <t>Gateway (hệ thống)</t>
        </is>
      </c>
      <c r="F29" s="10" t="inlineStr">
        <is>
          <t>Identity, Audit</t>
        </is>
      </c>
      <c r="G29" s="10" t="inlineStr">
        <is>
          <t>Must</t>
        </is>
      </c>
      <c r="H29" s="10" t="inlineStr">
        <is>
          <t>mỗi request</t>
        </is>
      </c>
      <c r="I29" s="10" t="inlineStr">
        <is>
          <t>Có request tới `/api/v1/` hoặc `/hubs/`</t>
        </is>
      </c>
      <c r="J29" s="10" t="inlineStr"/>
      <c r="K29" s="10" t="inlineStr">
        <is>
          <t>1. Gateway nhận request, sinh hoặc nhận `X-Correlation-Id`, xóa các header nhận dạng do client tự gắn.
2. Kiểm tra route có được khai báo không; không có ⇒ `404` (deny by default).
3. Kiểm tra CORS với origin trong danh sách cho phép.
4. Kiểm tra rate limit theo policy tương ứng.
5. Xác thực JWT: chữ ký RS256 theo JWKS, `iss`, `aud`, `exp`, thuật toán hợp lệ.
6. Kiểm tra policy phân quyền của route (`ViewerOrAbove` / `OperatorOrAbove` / `AdminOnly`).
7. Gắn `X-User-Id`, `X-User-Role` lấy từ token và chuyển tiếp tới service; service kiểm tra lại quyền.
8. Ghi log truy cập có cấu trúc (không ghi body, không ghi token).</t>
        </is>
      </c>
      <c r="L29" s="10" t="inlineStr"/>
      <c r="M29" s="10" t="inlineStr">
        <is>
          <t>- E1 — Thiếu/sai token: `401` + `ProblemDetails`, không tiết lộ lý do chi tiết.
- E2 — Token bị sửa chữ ký, `alg=none`, hoặc đổi sang HS256: từ chối `401`; ghi sự kiện bảo mật.
- E3 — Token hợp lệ nhưng sai vai trò: `403 SOE-GW-403` “Bạn không có quyền thực hiện thao tác này.”
- E4 — Vượt rate limit: `429` + `Retry-After`; vượt liên tục ⇒ ghi audit cảnh báo.
- E5 — Body vượt 1 MB: `413`.
- E6 — Service đích không sẵn sàng: `503`/`504` chuẩn hóa, không lộ tên service hay stack trace.
- E7 — Client tự gắn `X-User-Role: ADMIN`: header bị xóa ở bước 1 ⇒ không có tác dụng nâng quyền.</t>
        </is>
      </c>
      <c r="N29" s="10" t="inlineStr">
        <is>
          <t>chỉ request hợp lệ và đúng quyền mới tới được service; mọi từ chối đều có log truy vết.</t>
        </is>
      </c>
      <c r="O29" s="10" t="inlineStr">
        <is>
          <t>BR: BR-GW-001…004; NFR: NFR-SEC-001, 008, 010, 011</t>
        </is>
      </c>
      <c r="P29" s="10" t="inlineStr">
        <is>
          <t>TC-GW-SEC-001…020, TC-GW-API-001…009</t>
        </is>
      </c>
      <c r="Q29" s="10" t="inlineStr">
        <is>
          <t>UC-07_realtime_audit_config.md</t>
        </is>
      </c>
    </row>
  </sheetData>
  <autoFilter ref="A1:Q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6" customWidth="1" min="3" max="3"/>
    <col width="10" customWidth="1" min="4" max="4"/>
    <col width="110" customWidth="1" min="5" max="5"/>
  </cols>
  <sheetData>
    <row r="1" ht="32" customHeight="1">
      <c r="A1" s="3" t="inlineStr">
        <is>
          <t>Mã UC</t>
        </is>
      </c>
      <c r="B1" s="3" t="inlineStr">
        <is>
          <t>Tên use case</t>
        </is>
      </c>
      <c r="C1" s="3" t="inlineStr">
        <is>
          <t>Loại luồng</t>
        </is>
      </c>
      <c r="D1" s="3" t="inlineStr">
        <is>
          <t>Mã bước</t>
        </is>
      </c>
      <c r="E1" s="3" t="inlineStr">
        <is>
          <t>Nội dung</t>
        </is>
      </c>
    </row>
    <row r="2">
      <c r="A2" s="10" t="inlineStr">
        <is>
          <t>UC-IDN-01</t>
        </is>
      </c>
      <c r="B2" s="10" t="inlineStr">
        <is>
          <t>Đăng nhập hệ thống</t>
        </is>
      </c>
      <c r="C2" s="10" t="inlineStr">
        <is>
          <t>Luồng chính</t>
        </is>
      </c>
      <c r="D2" s="10" t="inlineStr">
        <is>
          <t>B1</t>
        </is>
      </c>
      <c r="E2" s="10" t="inlineStr">
        <is>
          <t>Hệ thống hiển thị trang đăng nhập với ô “Tên đăng nhập”, “Mật khẩu” và nút “Đăng nhập”.</t>
        </is>
      </c>
    </row>
    <row r="3">
      <c r="A3" s="10" t="inlineStr">
        <is>
          <t>UC-IDN-01</t>
        </is>
      </c>
      <c r="B3" s="10" t="inlineStr">
        <is>
          <t>Đăng nhập hệ thống</t>
        </is>
      </c>
      <c r="C3" s="10" t="inlineStr">
        <is>
          <t>Luồng chính</t>
        </is>
      </c>
      <c r="D3" s="10" t="inlineStr">
        <is>
          <t>B2</t>
        </is>
      </c>
      <c r="E3" s="10" t="inlineStr">
        <is>
          <t>Người dùng nhập thông tin và bấm “Đăng nhập”.</t>
        </is>
      </c>
    </row>
    <row r="4">
      <c r="A4" s="10" t="inlineStr">
        <is>
          <t>UC-IDN-01</t>
        </is>
      </c>
      <c r="B4" s="10" t="inlineStr">
        <is>
          <t>Đăng nhập hệ thống</t>
        </is>
      </c>
      <c r="C4" s="10" t="inlineStr">
        <is>
          <t>Luồng chính</t>
        </is>
      </c>
      <c r="D4" s="10" t="inlineStr">
        <is>
          <t>B3</t>
        </is>
      </c>
      <c r="E4" s="10" t="inlineStr">
        <is>
          <t>Frontend validate: cả hai ô bắt buộc, `username` đúng định dạng. Không hợp lệ → hiện lỗi tại ô, dừng.</t>
        </is>
      </c>
    </row>
    <row r="5">
      <c r="A5" s="10" t="inlineStr">
        <is>
          <t>UC-IDN-01</t>
        </is>
      </c>
      <c r="B5" s="10" t="inlineStr">
        <is>
          <t>Đăng nhập hệ thống</t>
        </is>
      </c>
      <c r="C5" s="10" t="inlineStr">
        <is>
          <t>Luồng chính</t>
        </is>
      </c>
      <c r="D5" s="10" t="inlineStr">
        <is>
          <t>B4</t>
        </is>
      </c>
      <c r="E5" s="10" t="inlineStr">
        <is>
          <t>Frontend gọi `POST /api/v1/auth/login`.</t>
        </is>
      </c>
    </row>
    <row r="6">
      <c r="A6" s="10" t="inlineStr">
        <is>
          <t>UC-IDN-01</t>
        </is>
      </c>
      <c r="B6" s="10" t="inlineStr">
        <is>
          <t>Đăng nhập hệ thống</t>
        </is>
      </c>
      <c r="C6" s="10" t="inlineStr">
        <is>
          <t>Luồng chính</t>
        </is>
      </c>
      <c r="D6" s="10" t="inlineStr">
        <is>
          <t>B5</t>
        </is>
      </c>
      <c r="E6" s="10" t="inlineStr">
        <is>
          <t>Gateway kiểm tra rate limit (5 lần/phút/IP) và chuyển tiếp.</t>
        </is>
      </c>
    </row>
    <row r="7">
      <c r="A7" s="10" t="inlineStr">
        <is>
          <t>UC-IDN-01</t>
        </is>
      </c>
      <c r="B7" s="10" t="inlineStr">
        <is>
          <t>Đăng nhập hệ thống</t>
        </is>
      </c>
      <c r="C7" s="10" t="inlineStr">
        <is>
          <t>Luồng chính</t>
        </is>
      </c>
      <c r="D7" s="10" t="inlineStr">
        <is>
          <t>B6</t>
        </is>
      </c>
      <c r="E7" s="10" t="inlineStr">
        <is>
          <t>Identity tìm người dùng, xác minh mật khẩu bằng Argon2id.</t>
        </is>
      </c>
    </row>
    <row r="8">
      <c r="A8" s="10" t="inlineStr">
        <is>
          <t>UC-IDN-01</t>
        </is>
      </c>
      <c r="B8" s="10" t="inlineStr">
        <is>
          <t>Đăng nhập hệ thống</t>
        </is>
      </c>
      <c r="C8" s="10" t="inlineStr">
        <is>
          <t>Luồng chính</t>
        </is>
      </c>
      <c r="D8" s="10" t="inlineStr">
        <is>
          <t>B7</t>
        </is>
      </c>
      <c r="E8" s="10" t="inlineStr">
        <is>
          <t>Identity đặt lại `failedLoginCount`, cập nhật `lastLoginAt`, phát hành access token (15 phút) và refresh token (cookie `HttpOnly`), phát `UserLoggedInV1`.</t>
        </is>
      </c>
    </row>
    <row r="9">
      <c r="A9" s="10" t="inlineStr">
        <is>
          <t>UC-IDN-01</t>
        </is>
      </c>
      <c r="B9" s="10" t="inlineStr">
        <is>
          <t>Đăng nhập hệ thống</t>
        </is>
      </c>
      <c r="C9" s="10" t="inlineStr">
        <is>
          <t>Luồng chính</t>
        </is>
      </c>
      <c r="D9" s="10" t="inlineStr">
        <is>
          <t>B8</t>
        </is>
      </c>
      <c r="E9" s="10" t="inlineStr">
        <is>
          <t>Frontend lưu access token trong bộ nhớ, khởi tạo kết nối SignalR, điều hướng tới Dashboard (hoặc `returnUrl` nội bộ).</t>
        </is>
      </c>
    </row>
    <row r="10">
      <c r="A10" s="10" t="inlineStr">
        <is>
          <t>UC-IDN-01</t>
        </is>
      </c>
      <c r="B10" s="10" t="inlineStr">
        <is>
          <t>Đăng nhập hệ thống</t>
        </is>
      </c>
      <c r="C10" s="10" t="inlineStr">
        <is>
          <t>Luồng chính</t>
        </is>
      </c>
      <c r="D10" s="10" t="inlineStr">
        <is>
          <t>B9</t>
        </is>
      </c>
      <c r="E10" s="10" t="inlineStr">
        <is>
          <t>Audit ghi `LOGIN_SUCCEEDED`.</t>
        </is>
      </c>
    </row>
    <row r="11">
      <c r="A11" s="10" t="inlineStr">
        <is>
          <t>UC-IDN-01</t>
        </is>
      </c>
      <c r="B11" s="10" t="inlineStr">
        <is>
          <t>Đăng nhập hệ thống</t>
        </is>
      </c>
      <c r="C11" s="10" t="inlineStr">
        <is>
          <t>Luồng thay thế</t>
        </is>
      </c>
      <c r="D11" s="10" t="inlineStr">
        <is>
          <t>A1</t>
        </is>
      </c>
      <c r="E11" s="10" t="inlineStr">
        <is>
          <t>Bắt buộc đổi mật khẩu: bước 7 trả `mustChangePassword = true` → frontend mở hộp thoại đổi mật khẩu và chặn điều hướng cho tới khi đổi xong (UC-IDN-03).</t>
        </is>
      </c>
    </row>
    <row r="12">
      <c r="A12" s="10" t="inlineStr">
        <is>
          <t>UC-IDN-01</t>
        </is>
      </c>
      <c r="B12" s="10" t="inlineStr">
        <is>
          <t>Đăng nhập hệ thống</t>
        </is>
      </c>
      <c r="C12" s="10" t="inlineStr">
        <is>
          <t>Luồng thay thế</t>
        </is>
      </c>
      <c r="D12" s="10" t="inlineStr">
        <is>
          <t>A2</t>
        </is>
      </c>
      <c r="E12" s="10" t="inlineStr">
        <is>
          <t>Còn phiên hợp lệ: ở bước 1, nếu cookie refresh còn hạn, frontend gọi `/auth/refresh` và vào thẳng Dashboard.</t>
        </is>
      </c>
    </row>
    <row r="13">
      <c r="A13" s="10" t="inlineStr">
        <is>
          <t>UC-IDN-01</t>
        </is>
      </c>
      <c r="B13" s="10" t="inlineStr">
        <is>
          <t>Đăng nhập hệ thống</t>
        </is>
      </c>
      <c r="C13" s="10" t="inlineStr">
        <is>
          <t>Luồng thay thế</t>
        </is>
      </c>
      <c r="D13" s="10" t="inlineStr">
        <is>
          <t>A3</t>
        </is>
      </c>
      <c r="E13" s="10" t="inlineStr">
        <is>
          <t>Có `returnUrl`: sau khi đăng nhập, điều hướng tới đường dẫn nội bộ đã lưu (chỉ nhận đường dẫn bắt đầu bằng `/`).</t>
        </is>
      </c>
    </row>
    <row r="14">
      <c r="A14" s="10" t="inlineStr">
        <is>
          <t>UC-IDN-01</t>
        </is>
      </c>
      <c r="B14" s="10" t="inlineStr">
        <is>
          <t>Đăng nhập hệ thống</t>
        </is>
      </c>
      <c r="C14" s="10" t="inlineStr">
        <is>
          <t>Luồng ngoại lệ</t>
        </is>
      </c>
      <c r="D14" s="10" t="inlineStr">
        <is>
          <t>E1</t>
        </is>
      </c>
      <c r="E14" s="10" t="inlineStr">
        <is>
          <t>Sai thông tin: Identity tăng `failedLoginCount`, phát `UserLoginFailedV1`, trả `401 SOE-IDN-401`; frontend hiện “Tên đăng nhập hoặc mật khẩu không đúng.” (không nói rõ sai ở đâu — BR-IDN-001).</t>
        </is>
      </c>
    </row>
    <row r="15">
      <c r="A15" s="10" t="inlineStr">
        <is>
          <t>UC-IDN-01</t>
        </is>
      </c>
      <c r="B15" s="10" t="inlineStr">
        <is>
          <t>Đăng nhập hệ thống</t>
        </is>
      </c>
      <c r="C15" s="10" t="inlineStr">
        <is>
          <t>Luồng ngoại lệ</t>
        </is>
      </c>
      <c r="D15" s="10" t="inlineStr">
        <is>
          <t>E2</t>
        </is>
      </c>
      <c r="E15" s="10" t="inlineStr">
        <is>
          <t>Sai 5 lần: tài khoản bị khóa 15 phút, trả `423 SOE-IDN-423`; frontend hiện đếm ngược; Audit ghi `ACCOUNT_LOCKED`.</t>
        </is>
      </c>
    </row>
    <row r="16">
      <c r="A16" s="10" t="inlineStr">
        <is>
          <t>UC-IDN-01</t>
        </is>
      </c>
      <c r="B16" s="10" t="inlineStr">
        <is>
          <t>Đăng nhập hệ thống</t>
        </is>
      </c>
      <c r="C16" s="10" t="inlineStr">
        <is>
          <t>Luồng ngoại lệ</t>
        </is>
      </c>
      <c r="D16" s="10" t="inlineStr">
        <is>
          <t>E3</t>
        </is>
      </c>
      <c r="E16" s="10" t="inlineStr">
        <is>
          <t>Tài khoản bị vô hiệu hóa: trả `403 SOE-IDN-403` “Tài khoản đã bị vô hiệu hóa.”</t>
        </is>
      </c>
    </row>
    <row r="17">
      <c r="A17" s="10" t="inlineStr">
        <is>
          <t>UC-IDN-01</t>
        </is>
      </c>
      <c r="B17" s="10" t="inlineStr">
        <is>
          <t>Đăng nhập hệ thống</t>
        </is>
      </c>
      <c r="C17" s="10" t="inlineStr">
        <is>
          <t>Luồng ngoại lệ</t>
        </is>
      </c>
      <c r="D17" s="10" t="inlineStr">
        <is>
          <t>E4</t>
        </is>
      </c>
      <c r="E17" s="10" t="inlineStr">
        <is>
          <t>Vượt rate limit: `429` + `Retry-After`; frontend hiện “Bạn thử quá nhiều lần, vui lòng đợi {n} giây.”</t>
        </is>
      </c>
    </row>
    <row r="18">
      <c r="A18" s="10" t="inlineStr">
        <is>
          <t>UC-IDN-01</t>
        </is>
      </c>
      <c r="B18" s="10" t="inlineStr">
        <is>
          <t>Đăng nhập hệ thống</t>
        </is>
      </c>
      <c r="C18" s="10" t="inlineStr">
        <is>
          <t>Luồng ngoại lệ</t>
        </is>
      </c>
      <c r="D18" s="10" t="inlineStr">
        <is>
          <t>E5</t>
        </is>
      </c>
      <c r="E18" s="10" t="inlineStr">
        <is>
          <t>Identity không phản hồi: gateway trả `503`; frontend hiện “Hệ thống tạm thời không khả dụng, vui lòng thử lại.”</t>
        </is>
      </c>
    </row>
    <row r="19">
      <c r="A19" s="10" t="inlineStr">
        <is>
          <t>UC-IDN-02</t>
        </is>
      </c>
      <c r="B19" s="10" t="inlineStr">
        <is>
          <t>Duy trì phiên &amp; đăng xuất</t>
        </is>
      </c>
      <c r="C19" s="10" t="inlineStr">
        <is>
          <t>Luồng chính</t>
        </is>
      </c>
      <c r="D19" s="10" t="inlineStr">
        <is>
          <t>B1</t>
        </is>
      </c>
      <c r="E19" s="10" t="inlineStr">
        <is>
          <t>Frontend gọi API nghiệp vụ và nhận `401`.</t>
        </is>
      </c>
    </row>
    <row r="20">
      <c r="A20" s="10" t="inlineStr">
        <is>
          <t>UC-IDN-02</t>
        </is>
      </c>
      <c r="B20" s="10" t="inlineStr">
        <is>
          <t>Duy trì phiên &amp; đăng xuất</t>
        </is>
      </c>
      <c r="C20" s="10" t="inlineStr">
        <is>
          <t>Luồng chính</t>
        </is>
      </c>
      <c r="D20" s="10" t="inlineStr">
        <is>
          <t>B2</t>
        </is>
      </c>
      <c r="E20" s="10" t="inlineStr">
        <is>
          <t>Interceptor tạm giữ mọi request đang chờ (single-flight) và gọi `POST /auth/refresh` (cookie tự gửi).</t>
        </is>
      </c>
    </row>
    <row r="21">
      <c r="A21" s="10" t="inlineStr">
        <is>
          <t>UC-IDN-02</t>
        </is>
      </c>
      <c r="B21" s="10" t="inlineStr">
        <is>
          <t>Duy trì phiên &amp; đăng xuất</t>
        </is>
      </c>
      <c r="C21" s="10" t="inlineStr">
        <is>
          <t>Luồng chính</t>
        </is>
      </c>
      <c r="D21" s="10" t="inlineStr">
        <is>
          <t>B3</t>
        </is>
      </c>
      <c r="E21" s="10" t="inlineStr">
        <is>
          <t>Identity xác minh hash refresh token, kiểm tra chưa dùng và chưa thu hồi.</t>
        </is>
      </c>
    </row>
    <row r="22">
      <c r="A22" s="10" t="inlineStr">
        <is>
          <t>UC-IDN-02</t>
        </is>
      </c>
      <c r="B22" s="10" t="inlineStr">
        <is>
          <t>Duy trì phiên &amp; đăng xuất</t>
        </is>
      </c>
      <c r="C22" s="10" t="inlineStr">
        <is>
          <t>Luồng chính</t>
        </is>
      </c>
      <c r="D22" s="10" t="inlineStr">
        <is>
          <t>B4</t>
        </is>
      </c>
      <c r="E22" s="10" t="inlineStr">
        <is>
          <t>Identity đánh dấu token cũ đã dùng, phát hành access token mới + refresh token mới cùng `FamilyId`.</t>
        </is>
      </c>
    </row>
    <row r="23">
      <c r="A23" s="10" t="inlineStr">
        <is>
          <t>UC-IDN-02</t>
        </is>
      </c>
      <c r="B23" s="10" t="inlineStr">
        <is>
          <t>Duy trì phiên &amp; đăng xuất</t>
        </is>
      </c>
      <c r="C23" s="10" t="inlineStr">
        <is>
          <t>Luồng chính</t>
        </is>
      </c>
      <c r="D23" s="10" t="inlineStr">
        <is>
          <t>B5</t>
        </is>
      </c>
      <c r="E23" s="10" t="inlineStr">
        <is>
          <t>Frontend cập nhật token trong bộ nhớ và gửi lại các request đang chờ.</t>
        </is>
      </c>
    </row>
    <row r="24">
      <c r="A24" s="10" t="inlineStr">
        <is>
          <t>UC-IDN-02</t>
        </is>
      </c>
      <c r="B24" s="10" t="inlineStr">
        <is>
          <t>Duy trì phiên &amp; đăng xuất</t>
        </is>
      </c>
      <c r="C24" s="10" t="inlineStr">
        <is>
          <t>Luồng thay thế</t>
        </is>
      </c>
      <c r="D24" s="10" t="inlineStr">
        <is>
          <t>A1</t>
        </is>
      </c>
      <c r="E24" s="10" t="inlineStr">
        <is>
          <t>Đăng xuất chủ động: người dùng bấm “Đăng xuất” → `POST /auth/logout` → thu hồi refresh token, xóa cookie, đóng SignalR, xóa cache React Query, chuyển về `/login`.</t>
        </is>
      </c>
    </row>
    <row r="25">
      <c r="A25" s="10" t="inlineStr">
        <is>
          <t>UC-IDN-02</t>
        </is>
      </c>
      <c r="B25" s="10" t="inlineStr">
        <is>
          <t>Duy trì phiên &amp; đăng xuất</t>
        </is>
      </c>
      <c r="C25" s="10" t="inlineStr">
        <is>
          <t>Luồng thay thế</t>
        </is>
      </c>
      <c r="D25" s="10" t="inlineStr">
        <is>
          <t>A2</t>
        </is>
      </c>
      <c r="E25" s="10" t="inlineStr">
        <is>
          <t>Hết hạn phiên do không thao tác: sau 30 phút không tương tác, frontend tự đăng xuất và hiện thông báo “Phiên làm việc đã kết thúc”.</t>
        </is>
      </c>
    </row>
    <row r="26">
      <c r="A26" s="10" t="inlineStr">
        <is>
          <t>UC-IDN-02</t>
        </is>
      </c>
      <c r="B26" s="10" t="inlineStr">
        <is>
          <t>Duy trì phiên &amp; đăng xuất</t>
        </is>
      </c>
      <c r="C26" s="10" t="inlineStr">
        <is>
          <t>Luồng ngoại lệ</t>
        </is>
      </c>
      <c r="D26" s="10" t="inlineStr">
        <is>
          <t>E1</t>
        </is>
      </c>
      <c r="E26" s="10" t="inlineStr">
        <is>
          <t>Refresh token hết hạn/không hợp lệ: `401 SOE-IDN-402`; frontend chuyển về `/login` kèm `returnUrl`.</t>
        </is>
      </c>
    </row>
    <row r="27">
      <c r="A27" s="10" t="inlineStr">
        <is>
          <t>UC-IDN-02</t>
        </is>
      </c>
      <c r="B27" s="10" t="inlineStr">
        <is>
          <t>Duy trì phiên &amp; đăng xuất</t>
        </is>
      </c>
      <c r="C27" s="10" t="inlineStr">
        <is>
          <t>Luồng ngoại lệ</t>
        </is>
      </c>
      <c r="D27" s="10" t="inlineStr">
        <is>
          <t>E2</t>
        </is>
      </c>
      <c r="E27" s="10" t="inlineStr">
        <is>
          <t>Phát hiện tái sử dụng token: Identity thu hồi toàn bộ `FamilyId`, ghi `TOKEN_REUSE_DETECTED`, trả `401`; mọi thiết bị của người dùng bị đăng xuất.</t>
        </is>
      </c>
    </row>
    <row r="28">
      <c r="A28" s="10" t="inlineStr">
        <is>
          <t>UC-IDN-02</t>
        </is>
      </c>
      <c r="B28" s="10" t="inlineStr">
        <is>
          <t>Duy trì phiên &amp; đăng xuất</t>
        </is>
      </c>
      <c r="C28" s="10" t="inlineStr">
        <is>
          <t>Luồng ngoại lệ</t>
        </is>
      </c>
      <c r="D28" s="10" t="inlineStr">
        <is>
          <t>E3</t>
        </is>
      </c>
      <c r="E28" s="10" t="inlineStr">
        <is>
          <t>Người dùng bị vô hiệu hóa giữa phiên: refresh bị từ chối; token cũ hết hiệu lực trong tối đa 15 phút.</t>
        </is>
      </c>
    </row>
    <row r="29">
      <c r="A29" s="10" t="inlineStr">
        <is>
          <t>UC-IDN-02</t>
        </is>
      </c>
      <c r="B29" s="10" t="inlineStr">
        <is>
          <t>Duy trì phiên &amp; đăng xuất</t>
        </is>
      </c>
      <c r="C29" s="10" t="inlineStr">
        <is>
          <t>Luồng ngoại lệ</t>
        </is>
      </c>
      <c r="D29" s="10" t="inlineStr">
        <is>
          <t>E4</t>
        </is>
      </c>
      <c r="E29" s="10" t="inlineStr">
        <is>
          <t>Đổi mật khẩu ở thiết bị khác: mọi refresh token bị thu hồi (BR-IDN-004) → E1.</t>
        </is>
      </c>
    </row>
    <row r="30">
      <c r="A30" s="10" t="inlineStr">
        <is>
          <t>UC-IDN-03</t>
        </is>
      </c>
      <c r="B30" s="10" t="inlineStr">
        <is>
          <t>Đổi mật khẩu</t>
        </is>
      </c>
      <c r="C30" s="10" t="inlineStr">
        <is>
          <t>Luồng chính</t>
        </is>
      </c>
      <c r="D30" s="10" t="inlineStr">
        <is>
          <t>B1</t>
        </is>
      </c>
      <c r="E30" s="10" t="inlineStr">
        <is>
          <t>Người dùng mở hộp thoại đổi mật khẩu.</t>
        </is>
      </c>
    </row>
    <row r="31">
      <c r="A31" s="10" t="inlineStr">
        <is>
          <t>UC-IDN-03</t>
        </is>
      </c>
      <c r="B31" s="10" t="inlineStr">
        <is>
          <t>Đổi mật khẩu</t>
        </is>
      </c>
      <c r="C31" s="10" t="inlineStr">
        <is>
          <t>Luồng chính</t>
        </is>
      </c>
      <c r="D31" s="10" t="inlineStr">
        <is>
          <t>B2</t>
        </is>
      </c>
      <c r="E31" s="10" t="inlineStr">
        <is>
          <t>Nhập mật khẩu hiện tại, mật khẩu mới, xác nhận mật khẩu mới.</t>
        </is>
      </c>
    </row>
    <row r="32">
      <c r="A32" s="10" t="inlineStr">
        <is>
          <t>UC-IDN-03</t>
        </is>
      </c>
      <c r="B32" s="10" t="inlineStr">
        <is>
          <t>Đổi mật khẩu</t>
        </is>
      </c>
      <c r="C32" s="10" t="inlineStr">
        <is>
          <t>Luồng chính</t>
        </is>
      </c>
      <c r="D32" s="10" t="inlineStr">
        <is>
          <t>B3</t>
        </is>
      </c>
      <c r="E32" s="10" t="inlineStr">
        <is>
          <t>Frontend validate: ≥ 12 ký tự, có chữ và số, hai ô mới khớp nhau, khác mật khẩu hiện tại; hiện thanh đo độ mạnh.</t>
        </is>
      </c>
    </row>
    <row r="33">
      <c r="A33" s="10" t="inlineStr">
        <is>
          <t>UC-IDN-03</t>
        </is>
      </c>
      <c r="B33" s="10" t="inlineStr">
        <is>
          <t>Đổi mật khẩu</t>
        </is>
      </c>
      <c r="C33" s="10" t="inlineStr">
        <is>
          <t>Luồng chính</t>
        </is>
      </c>
      <c r="D33" s="10" t="inlineStr">
        <is>
          <t>B4</t>
        </is>
      </c>
      <c r="E33" s="10" t="inlineStr">
        <is>
          <t>Gọi `PUT /api/v1/me/password`.</t>
        </is>
      </c>
    </row>
    <row r="34">
      <c r="A34" s="10" t="inlineStr">
        <is>
          <t>UC-IDN-03</t>
        </is>
      </c>
      <c r="B34" s="10" t="inlineStr">
        <is>
          <t>Đổi mật khẩu</t>
        </is>
      </c>
      <c r="C34" s="10" t="inlineStr">
        <is>
          <t>Luồng chính</t>
        </is>
      </c>
      <c r="D34" s="10" t="inlineStr">
        <is>
          <t>B5</t>
        </is>
      </c>
      <c r="E34" s="10" t="inlineStr">
        <is>
          <t>Identity xác minh mật khẩu hiện tại, kiểm tra chính sách và danh sách mật khẩu yếu, cập nhật hash và `PasswordChangedAt`, thu hồi toàn bộ refresh token.</t>
        </is>
      </c>
    </row>
    <row r="35">
      <c r="A35" s="10" t="inlineStr">
        <is>
          <t>UC-IDN-03</t>
        </is>
      </c>
      <c r="B35" s="10" t="inlineStr">
        <is>
          <t>Đổi mật khẩu</t>
        </is>
      </c>
      <c r="C35" s="10" t="inlineStr">
        <is>
          <t>Luồng chính</t>
        </is>
      </c>
      <c r="D35" s="10" t="inlineStr">
        <is>
          <t>B6</t>
        </is>
      </c>
      <c r="E35" s="10" t="inlineStr">
        <is>
          <t>Frontend nhận `204`, hiện toast, đăng xuất và yêu cầu đăng nhập lại bằng mật khẩu mới.</t>
        </is>
      </c>
    </row>
    <row r="36">
      <c r="A36" s="10" t="inlineStr">
        <is>
          <t>UC-IDN-03</t>
        </is>
      </c>
      <c r="B36" s="10" t="inlineStr">
        <is>
          <t>Đổi mật khẩu</t>
        </is>
      </c>
      <c r="C36" s="10" t="inlineStr">
        <is>
          <t>Luồng chính</t>
        </is>
      </c>
      <c r="D36" s="10" t="inlineStr">
        <is>
          <t>B7</t>
        </is>
      </c>
      <c r="E36" s="10" t="inlineStr">
        <is>
          <t>Audit ghi `USER_PASSWORD_CHANGED`.</t>
        </is>
      </c>
    </row>
    <row r="37">
      <c r="A37" s="10" t="inlineStr">
        <is>
          <t>UC-IDN-03</t>
        </is>
      </c>
      <c r="B37" s="10" t="inlineStr">
        <is>
          <t>Đổi mật khẩu</t>
        </is>
      </c>
      <c r="C37" s="10" t="inlineStr">
        <is>
          <t>Luồng ngoại lệ</t>
        </is>
      </c>
      <c r="D37" s="10" t="inlineStr">
        <is>
          <t>E1</t>
        </is>
      </c>
      <c r="E37" s="10" t="inlineStr">
        <is>
          <t>Sai mật khẩu hiện tại: `401`; hiện lỗi tại ô mật khẩu hiện tại.</t>
        </is>
      </c>
    </row>
    <row r="38">
      <c r="A38" s="10" t="inlineStr">
        <is>
          <t>UC-IDN-03</t>
        </is>
      </c>
      <c r="B38" s="10" t="inlineStr">
        <is>
          <t>Đổi mật khẩu</t>
        </is>
      </c>
      <c r="C38" s="10" t="inlineStr">
        <is>
          <t>Luồng ngoại lệ</t>
        </is>
      </c>
      <c r="D38" s="10" t="inlineStr">
        <is>
          <t>E2</t>
        </is>
      </c>
      <c r="E38" s="10" t="inlineStr">
        <is>
          <t>Mật khẩu mới không đạt chính sách/nằm trong danh sách yếu: `400 SOE-IDN-400` kèm `errors.newPassword`.</t>
        </is>
      </c>
    </row>
    <row r="39">
      <c r="A39" s="10" t="inlineStr">
        <is>
          <t>UC-IDN-03</t>
        </is>
      </c>
      <c r="B39" s="10" t="inlineStr">
        <is>
          <t>Đổi mật khẩu</t>
        </is>
      </c>
      <c r="C39" s="10" t="inlineStr">
        <is>
          <t>Luồng ngoại lệ</t>
        </is>
      </c>
      <c r="D39" s="10" t="inlineStr">
        <is>
          <t>E3</t>
        </is>
      </c>
      <c r="E39" s="10" t="inlineStr">
        <is>
          <t>Mật khẩu mới trùng mật khẩu cũ: `400` với thông báo riêng (BR-IDN-007).</t>
        </is>
      </c>
    </row>
    <row r="40">
      <c r="A40" s="10" t="inlineStr">
        <is>
          <t>UC-IDN-04</t>
        </is>
      </c>
      <c r="B40" s="10" t="inlineStr">
        <is>
          <t>Quản lý người dùng</t>
        </is>
      </c>
      <c r="C40" s="10" t="inlineStr">
        <is>
          <t>Luồng chính</t>
        </is>
      </c>
      <c r="D40" s="10" t="inlineStr">
        <is>
          <t>B1</t>
        </is>
      </c>
      <c r="E40" s="10" t="inlineStr">
        <is>
          <t>ADMIN mở màn hình `Users`, thấy danh sách phân trang có bộ lọc vai trò/trạng thái.</t>
        </is>
      </c>
    </row>
    <row r="41">
      <c r="A41" s="10" t="inlineStr">
        <is>
          <t>UC-IDN-04</t>
        </is>
      </c>
      <c r="B41" s="10" t="inlineStr">
        <is>
          <t>Quản lý người dùng</t>
        </is>
      </c>
      <c r="C41" s="10" t="inlineStr">
        <is>
          <t>Luồng chính</t>
        </is>
      </c>
      <c r="D41" s="10" t="inlineStr">
        <is>
          <t>B2</t>
        </is>
      </c>
      <c r="E41" s="10" t="inlineStr">
        <is>
          <t>Bấm “Thêm người dùng”, nhập `username`, họ tên, email, vai trò.</t>
        </is>
      </c>
    </row>
    <row r="42">
      <c r="A42" s="10" t="inlineStr">
        <is>
          <t>UC-IDN-04</t>
        </is>
      </c>
      <c r="B42" s="10" t="inlineStr">
        <is>
          <t>Quản lý người dùng</t>
        </is>
      </c>
      <c r="C42" s="10" t="inlineStr">
        <is>
          <t>Luồng chính</t>
        </is>
      </c>
      <c r="D42" s="10" t="inlineStr">
        <is>
          <t>B3</t>
        </is>
      </c>
      <c r="E42" s="10" t="inlineStr">
        <is>
          <t>Frontend validate theo bảng quy tắc (SRS 01 §6).</t>
        </is>
      </c>
    </row>
    <row r="43">
      <c r="A43" s="10" t="inlineStr">
        <is>
          <t>UC-IDN-04</t>
        </is>
      </c>
      <c r="B43" s="10" t="inlineStr">
        <is>
          <t>Quản lý người dùng</t>
        </is>
      </c>
      <c r="C43" s="10" t="inlineStr">
        <is>
          <t>Luồng chính</t>
        </is>
      </c>
      <c r="D43" s="10" t="inlineStr">
        <is>
          <t>B4</t>
        </is>
      </c>
      <c r="E43" s="10" t="inlineStr">
        <is>
          <t>Gọi `POST /api/v1/users`.</t>
        </is>
      </c>
    </row>
    <row r="44">
      <c r="A44" s="10" t="inlineStr">
        <is>
          <t>UC-IDN-04</t>
        </is>
      </c>
      <c r="B44" s="10" t="inlineStr">
        <is>
          <t>Quản lý người dùng</t>
        </is>
      </c>
      <c r="C44" s="10" t="inlineStr">
        <is>
          <t>Luồng chính</t>
        </is>
      </c>
      <c r="D44" s="10" t="inlineStr">
        <is>
          <t>B5</t>
        </is>
      </c>
      <c r="E44" s="10" t="inlineStr">
        <is>
          <t>Identity tạo tài khoản với mật khẩu tạm, đặt `mustChangePassword = true`.</t>
        </is>
      </c>
    </row>
    <row r="45">
      <c r="A45" s="10" t="inlineStr">
        <is>
          <t>UC-IDN-04</t>
        </is>
      </c>
      <c r="B45" s="10" t="inlineStr">
        <is>
          <t>Quản lý người dùng</t>
        </is>
      </c>
      <c r="C45" s="10" t="inlineStr">
        <is>
          <t>Luồng chính</t>
        </is>
      </c>
      <c r="D45" s="10" t="inlineStr">
        <is>
          <t>B6</t>
        </is>
      </c>
      <c r="E45" s="10" t="inlineStr">
        <is>
          <t>Hệ thống hiển thị mật khẩu tạm một lần duy nhất kèm nút sao chép và cảnh báo không hiển thị lại.</t>
        </is>
      </c>
    </row>
    <row r="46">
      <c r="A46" s="10" t="inlineStr">
        <is>
          <t>UC-IDN-04</t>
        </is>
      </c>
      <c r="B46" s="10" t="inlineStr">
        <is>
          <t>Quản lý người dùng</t>
        </is>
      </c>
      <c r="C46" s="10" t="inlineStr">
        <is>
          <t>Luồng chính</t>
        </is>
      </c>
      <c r="D46" s="10" t="inlineStr">
        <is>
          <t>B7</t>
        </is>
      </c>
      <c r="E46" s="10" t="inlineStr">
        <is>
          <t>Audit ghi `USER_CREATED`.</t>
        </is>
      </c>
    </row>
    <row r="47">
      <c r="A47" s="10" t="inlineStr">
        <is>
          <t>UC-IDN-04</t>
        </is>
      </c>
      <c r="B47" s="10" t="inlineStr">
        <is>
          <t>Quản lý người dùng</t>
        </is>
      </c>
      <c r="C47" s="10" t="inlineStr">
        <is>
          <t>Luồng thay thế</t>
        </is>
      </c>
      <c r="D47" s="10" t="inlineStr">
        <is>
          <t>A1</t>
        </is>
      </c>
      <c r="E47" s="10" t="inlineStr">
        <is>
          <t>Sửa người dùng: đổi họ tên/email/vai trò → `PUT /users/{id}`; đổi vai trò làm token hiện tại của người đó mất quyền ở lần refresh kế tiếp.</t>
        </is>
      </c>
    </row>
    <row r="48">
      <c r="A48" s="10" t="inlineStr">
        <is>
          <t>UC-IDN-04</t>
        </is>
      </c>
      <c r="B48" s="10" t="inlineStr">
        <is>
          <t>Quản lý người dùng</t>
        </is>
      </c>
      <c r="C48" s="10" t="inlineStr">
        <is>
          <t>Luồng thay thế</t>
        </is>
      </c>
      <c r="D48" s="10" t="inlineStr">
        <is>
          <t>A2</t>
        </is>
      </c>
      <c r="E48" s="10" t="inlineStr">
        <is>
          <t>Vô hiệu hóa/kích hoạt: `PUT /users/{id}/status`; vô hiệu hóa kéo theo thu hồi mọi phiên.</t>
        </is>
      </c>
    </row>
    <row r="49">
      <c r="A49" s="10" t="inlineStr">
        <is>
          <t>UC-IDN-04</t>
        </is>
      </c>
      <c r="B49" s="10" t="inlineStr">
        <is>
          <t>Quản lý người dùng</t>
        </is>
      </c>
      <c r="C49" s="10" t="inlineStr">
        <is>
          <t>Luồng thay thế</t>
        </is>
      </c>
      <c r="D49" s="10" t="inlineStr">
        <is>
          <t>A3</t>
        </is>
      </c>
      <c r="E49" s="10" t="inlineStr">
        <is>
          <t>Đặt lại mật khẩu: `POST /users/{id}/reset-password` → mật khẩu tạm mới, `mustChangePassword = true`.</t>
        </is>
      </c>
    </row>
    <row r="50">
      <c r="A50" s="10" t="inlineStr">
        <is>
          <t>UC-IDN-04</t>
        </is>
      </c>
      <c r="B50" s="10" t="inlineStr">
        <is>
          <t>Quản lý người dùng</t>
        </is>
      </c>
      <c r="C50" s="10" t="inlineStr">
        <is>
          <t>Luồng thay thế</t>
        </is>
      </c>
      <c r="D50" s="10" t="inlineStr">
        <is>
          <t>A4</t>
        </is>
      </c>
      <c r="E50" s="10" t="inlineStr">
        <is>
          <t>Buộc đăng xuất: `POST /users/{id}/revoke-sessions`.</t>
        </is>
      </c>
    </row>
    <row r="51">
      <c r="A51" s="10" t="inlineStr">
        <is>
          <t>UC-IDN-04</t>
        </is>
      </c>
      <c r="B51" s="10" t="inlineStr">
        <is>
          <t>Quản lý người dùng</t>
        </is>
      </c>
      <c r="C51" s="10" t="inlineStr">
        <is>
          <t>Luồng ngoại lệ</t>
        </is>
      </c>
      <c r="D51" s="10" t="inlineStr">
        <is>
          <t>E1</t>
        </is>
      </c>
      <c r="E51" s="10" t="inlineStr">
        <is>
          <t>Trùng username/email: `409 SOE-IDN-409`, lỗi gắn vào đúng ô.</t>
        </is>
      </c>
    </row>
    <row r="52">
      <c r="A52" s="10" t="inlineStr">
        <is>
          <t>UC-IDN-04</t>
        </is>
      </c>
      <c r="B52" s="10" t="inlineStr">
        <is>
          <t>Quản lý người dùng</t>
        </is>
      </c>
      <c r="C52" s="10" t="inlineStr">
        <is>
          <t>Luồng ngoại lệ</t>
        </is>
      </c>
      <c r="D52" s="10" t="inlineStr">
        <is>
          <t>E2</t>
        </is>
      </c>
      <c r="E52" s="10" t="inlineStr">
        <is>
          <t>Hạ quyền/vô hiệu hóa ADMIN cuối cùng: `422 SOE-IDN-422` “Không thể vô hiệu hóa quản trị viên cuối cùng.” (FR-IDN-015).</t>
        </is>
      </c>
    </row>
    <row r="53">
      <c r="A53" s="10" t="inlineStr">
        <is>
          <t>UC-IDN-04</t>
        </is>
      </c>
      <c r="B53" s="10" t="inlineStr">
        <is>
          <t>Quản lý người dùng</t>
        </is>
      </c>
      <c r="C53" s="10" t="inlineStr">
        <is>
          <t>Luồng ngoại lệ</t>
        </is>
      </c>
      <c r="D53" s="10" t="inlineStr">
        <is>
          <t>E3</t>
        </is>
      </c>
      <c r="E53" s="10" t="inlineStr">
        <is>
          <t>ADMIN tự vô hiệu hóa chính mình: chặn ở backend với cùng mã lỗi.</t>
        </is>
      </c>
    </row>
    <row r="54">
      <c r="A54" s="10" t="inlineStr">
        <is>
          <t>UC-IDN-04</t>
        </is>
      </c>
      <c r="B54" s="10" t="inlineStr">
        <is>
          <t>Quản lý người dùng</t>
        </is>
      </c>
      <c r="C54" s="10" t="inlineStr">
        <is>
          <t>Luồng ngoại lệ</t>
        </is>
      </c>
      <c r="D54" s="10" t="inlineStr">
        <is>
          <t>E4</t>
        </is>
      </c>
      <c r="E54" s="10" t="inlineStr">
        <is>
          <t>Người dùng không tồn tại: `404`.</t>
        </is>
      </c>
    </row>
    <row r="55">
      <c r="A55" s="10" t="inlineStr">
        <is>
          <t>UC-INV-01</t>
        </is>
      </c>
      <c r="B55" s="10" t="inlineStr">
        <is>
          <t>Thêm node mới</t>
        </is>
      </c>
      <c r="C55" s="10" t="inlineStr">
        <is>
          <t>Luồng chính</t>
        </is>
      </c>
      <c r="D55" s="10" t="inlineStr">
        <is>
          <t>B1</t>
        </is>
      </c>
      <c r="E55" s="10" t="inlineStr">
        <is>
          <t>Hệ thống mở modal “Thêm máy chủ mới” với hai tab xác thực: Password (mặc định) và SSH Key; ba checkbox giám sát CPU/RAM/Disk mặc định bật.</t>
        </is>
      </c>
    </row>
    <row r="56">
      <c r="A56" s="10" t="inlineStr">
        <is>
          <t>UC-INV-01</t>
        </is>
      </c>
      <c r="B56" s="10" t="inlineStr">
        <is>
          <t>Thêm node mới</t>
        </is>
      </c>
      <c r="C56" s="10" t="inlineStr">
        <is>
          <t>Luồng chính</t>
        </is>
      </c>
      <c r="D56" s="10" t="inlineStr">
        <is>
          <t>B2</t>
        </is>
      </c>
      <c r="E56" s="10" t="inlineStr">
        <is>
          <t>ADMIN nhập: tên, IP/hostname, port (mặc định 22), tài khoản SSH, credential theo tab đang chọn, đường mount đĩa (mặc định `/`), mô tả, tag (tùy chọn), chu kỳ quét riêng (tùy chọn).</t>
        </is>
      </c>
    </row>
    <row r="57">
      <c r="A57" s="10" t="inlineStr">
        <is>
          <t>UC-INV-01</t>
        </is>
      </c>
      <c r="B57" s="10" t="inlineStr">
        <is>
          <t>Thêm node mới</t>
        </is>
      </c>
      <c r="C57" s="10" t="inlineStr">
        <is>
          <t>Luồng chính</t>
        </is>
      </c>
      <c r="D57" s="10" t="inlineStr">
        <is>
          <t>B3</t>
        </is>
      </c>
      <c r="E57" s="10" t="inlineStr">
        <is>
          <t>Frontend validate theo schema zod (SRS 02 §6); lỗi hiển thị dưới từng ô, nút “Lưu” bị khóa.</t>
        </is>
      </c>
    </row>
    <row r="58">
      <c r="A58" s="10" t="inlineStr">
        <is>
          <t>UC-INV-01</t>
        </is>
      </c>
      <c r="B58" s="10" t="inlineStr">
        <is>
          <t>Thêm node mới</t>
        </is>
      </c>
      <c r="C58" s="10" t="inlineStr">
        <is>
          <t>Luồng chính</t>
        </is>
      </c>
      <c r="D58" s="10" t="inlineStr">
        <is>
          <t>B4</t>
        </is>
      </c>
      <c r="E58" s="10" t="inlineStr">
        <is>
          <t>ADMIN bấm “Kiểm tra kết nối” (khuyến nghị) → `POST /nodes/{tạm}/test-connection` hoặc kiểm tra kèm khi lưu (`testConnectionFirst = true`).</t>
        </is>
      </c>
    </row>
    <row r="59">
      <c r="A59" s="10" t="inlineStr">
        <is>
          <t>UC-INV-01</t>
        </is>
      </c>
      <c r="B59" s="10" t="inlineStr">
        <is>
          <t>Thêm node mới</t>
        </is>
      </c>
      <c r="C59" s="10" t="inlineStr">
        <is>
          <t>Luồng chính</t>
        </is>
      </c>
      <c r="D59" s="10" t="inlineStr">
        <is>
          <t>B5</t>
        </is>
      </c>
      <c r="E59" s="10" t="inlineStr">
        <is>
          <t>Inventory mở phiên SSH thử, lấy fingerprint host key, chạy một lệnh vô hại, trả kết quả kèm thời lượng.</t>
        </is>
      </c>
    </row>
    <row r="60">
      <c r="A60" s="10" t="inlineStr">
        <is>
          <t>UC-INV-01</t>
        </is>
      </c>
      <c r="B60" s="10" t="inlineStr">
        <is>
          <t>Thêm node mới</t>
        </is>
      </c>
      <c r="C60" s="10" t="inlineStr">
        <is>
          <t>Luồng chính</t>
        </is>
      </c>
      <c r="D60" s="10" t="inlineStr">
        <is>
          <t>B6</t>
        </is>
      </c>
      <c r="E60" s="10" t="inlineStr">
        <is>
          <t>ADMIN bấm “Lưu”; frontend gọi `POST /api/v1/nodes`.</t>
        </is>
      </c>
    </row>
    <row r="61">
      <c r="A61" s="10" t="inlineStr">
        <is>
          <t>UC-INV-01</t>
        </is>
      </c>
      <c r="B61" s="10" t="inlineStr">
        <is>
          <t>Thêm node mới</t>
        </is>
      </c>
      <c r="C61" s="10" t="inlineStr">
        <is>
          <t>Luồng chính</t>
        </is>
      </c>
      <c r="D61" s="10" t="inlineStr">
        <is>
          <t>B7</t>
        </is>
      </c>
      <c r="E61" s="10" t="inlineStr">
        <is>
          <t>Gateway kiểm tra vai trò ADMIN và rate limit ghi.</t>
        </is>
      </c>
    </row>
    <row r="62">
      <c r="A62" s="10" t="inlineStr">
        <is>
          <t>UC-INV-01</t>
        </is>
      </c>
      <c r="B62" s="10" t="inlineStr">
        <is>
          <t>Thêm node mới</t>
        </is>
      </c>
      <c r="C62" s="10" t="inlineStr">
        <is>
          <t>Luồng chính</t>
        </is>
      </c>
      <c r="D62" s="10" t="inlineStr">
        <is>
          <t>B8</t>
        </is>
      </c>
      <c r="E62" s="10" t="inlineStr">
        <is>
          <t>Inventory validate nghiệp vụ, kiểm tra trùng `(host, port)` và trùng `name`.</t>
        </is>
      </c>
    </row>
    <row r="63">
      <c r="A63" s="10" t="inlineStr">
        <is>
          <t>UC-INV-01</t>
        </is>
      </c>
      <c r="B63" s="10" t="inlineStr">
        <is>
          <t>Thêm node mới</t>
        </is>
      </c>
      <c r="C63" s="10" t="inlineStr">
        <is>
          <t>Luồng chính</t>
        </is>
      </c>
      <c r="D63" s="10" t="inlineStr">
        <is>
          <t>B9</t>
        </is>
      </c>
      <c r="E63" s="10" t="inlineStr">
        <is>
          <t>Inventory mã hóa credential bằng AES-256-GCM (một lần duy nhất, tại tầng Infrastructure), ghim fingerprint, lưu node + bản ghi outbox trong cùng transaction.</t>
        </is>
      </c>
    </row>
    <row r="64">
      <c r="A64" s="10" t="inlineStr">
        <is>
          <t>UC-INV-01</t>
        </is>
      </c>
      <c r="B64" s="10" t="inlineStr">
        <is>
          <t>Thêm node mới</t>
        </is>
      </c>
      <c r="C64" s="10" t="inlineStr">
        <is>
          <t>Luồng chính</t>
        </is>
      </c>
      <c r="D64" s="10" t="inlineStr">
        <is>
          <t>B10</t>
        </is>
      </c>
      <c r="E64" s="10" t="inlineStr">
        <is>
          <t>Trả `201 Created` với `NodeResponse` không chứa credential.</t>
        </is>
      </c>
    </row>
    <row r="65">
      <c r="A65" s="10" t="inlineStr">
        <is>
          <t>UC-INV-01</t>
        </is>
      </c>
      <c r="B65" s="10" t="inlineStr">
        <is>
          <t>Thêm node mới</t>
        </is>
      </c>
      <c r="C65" s="10" t="inlineStr">
        <is>
          <t>Luồng chính</t>
        </is>
      </c>
      <c r="D65" s="10" t="inlineStr">
        <is>
          <t>B11</t>
        </is>
      </c>
      <c r="E65" s="10" t="inlineStr">
        <is>
          <t>Outbox publisher phát `NodeCreatedV1`; Monitoring thêm vào read model và xếp lịch quét; Audit ghi `NODE_CREATED`.</t>
        </is>
      </c>
    </row>
    <row r="66">
      <c r="A66" s="10" t="inlineStr">
        <is>
          <t>UC-INV-01</t>
        </is>
      </c>
      <c r="B66" s="10" t="inlineStr">
        <is>
          <t>Thêm node mới</t>
        </is>
      </c>
      <c r="C66" s="10" t="inlineStr">
        <is>
          <t>Luồng chính</t>
        </is>
      </c>
      <c r="D66" s="10" t="inlineStr">
        <is>
          <t>B12</t>
        </is>
      </c>
      <c r="E66" s="10" t="inlineStr">
        <is>
          <t>Frontend đóng modal, thêm node vào danh sách, hiện toast “Đã thêm máy chủ {tên}”.</t>
        </is>
      </c>
    </row>
    <row r="67">
      <c r="A67" s="10" t="inlineStr">
        <is>
          <t>UC-INV-01</t>
        </is>
      </c>
      <c r="B67" s="10" t="inlineStr">
        <is>
          <t>Thêm node mới</t>
        </is>
      </c>
      <c r="C67" s="10" t="inlineStr">
        <is>
          <t>Luồng thay thế</t>
        </is>
      </c>
      <c r="D67" s="10" t="inlineStr">
        <is>
          <t>A1</t>
        </is>
      </c>
      <c r="E67" s="10" t="inlineStr">
        <is>
          <t>Dùng SSH Key: ADMIN chuyển tab SSH Key, dán private key (và passphrase nếu có); ô Password ẩn đi; validate bắt đầu bằng `-----BEGIN`, ≤ 16 KB.</t>
        </is>
      </c>
    </row>
    <row r="68">
      <c r="A68" s="10" t="inlineStr">
        <is>
          <t>UC-INV-01</t>
        </is>
      </c>
      <c r="B68" s="10" t="inlineStr">
        <is>
          <t>Thêm node mới</t>
        </is>
      </c>
      <c r="C68" s="10" t="inlineStr">
        <is>
          <t>Luồng thay thế</t>
        </is>
      </c>
      <c r="D68" s="10" t="inlineStr">
        <is>
          <t>A2</t>
        </is>
      </c>
      <c r="E68" s="10" t="inlineStr">
        <is>
          <t>Bỏ qua kiểm tra kết nối: node vẫn được tạo; lần quét đầu sẽ phát hiện lỗi và mở sự cố `NODE_UNREACHABLE`.</t>
        </is>
      </c>
    </row>
    <row r="69">
      <c r="A69" s="10" t="inlineStr">
        <is>
          <t>UC-INV-01</t>
        </is>
      </c>
      <c r="B69" s="10" t="inlineStr">
        <is>
          <t>Thêm node mới</t>
        </is>
      </c>
      <c r="C69" s="10" t="inlineStr">
        <is>
          <t>Luồng thay thế</t>
        </is>
      </c>
      <c r="D69" s="10" t="inlineStr">
        <is>
          <t>A3</t>
        </is>
      </c>
      <c r="E69" s="10" t="inlineStr">
        <is>
          <t>Tạo node ở trạng thái tắt giám sát: bỏ chọn “Giám sát”; node không được xếp lịch cho tới khi bật.</t>
        </is>
      </c>
    </row>
    <row r="70">
      <c r="A70" s="10" t="inlineStr">
        <is>
          <t>UC-INV-01</t>
        </is>
      </c>
      <c r="B70" s="10" t="inlineStr">
        <is>
          <t>Thêm node mới</t>
        </is>
      </c>
      <c r="C70" s="10" t="inlineStr">
        <is>
          <t>Luồng thay thế</t>
        </is>
      </c>
      <c r="D70" s="10" t="inlineStr">
        <is>
          <t>A4</t>
        </is>
      </c>
      <c r="E70" s="10" t="inlineStr">
        <is>
          <t>Nhập hàng loạt bằng CSV: (Could): tải lên tệp, hệ thống báo lỗi theo từng dòng, chỉ tạo các dòng hợp lệ.</t>
        </is>
      </c>
    </row>
    <row r="71">
      <c r="A71" s="10" t="inlineStr">
        <is>
          <t>UC-INV-01</t>
        </is>
      </c>
      <c r="B71" s="10" t="inlineStr">
        <is>
          <t>Thêm node mới</t>
        </is>
      </c>
      <c r="C71" s="10" t="inlineStr">
        <is>
          <t>Luồng ngoại lệ</t>
        </is>
      </c>
      <c r="D71" s="10" t="inlineStr">
        <is>
          <t>E1</t>
        </is>
      </c>
      <c r="E71" s="10" t="inlineStr">
        <is>
          <t>Trùng host:port: `409 SOE-INV-409`; frontend gắn lỗi vào ô Host: “Đã có node sử dụng 192.168.1.10:22.”</t>
        </is>
      </c>
    </row>
    <row r="72">
      <c r="A72" s="10" t="inlineStr">
        <is>
          <t>UC-INV-01</t>
        </is>
      </c>
      <c r="B72" s="10" t="inlineStr">
        <is>
          <t>Thêm node mới</t>
        </is>
      </c>
      <c r="C72" s="10" t="inlineStr">
        <is>
          <t>Luồng ngoại lệ</t>
        </is>
      </c>
      <c r="D72" s="10" t="inlineStr">
        <is>
          <t>E2</t>
        </is>
      </c>
      <c r="E72" s="10" t="inlineStr">
        <is>
          <t>Trùng tên: `409 SOE-INV-410`.</t>
        </is>
      </c>
    </row>
    <row r="73">
      <c r="A73" s="10" t="inlineStr">
        <is>
          <t>UC-INV-01</t>
        </is>
      </c>
      <c r="B73" s="10" t="inlineStr">
        <is>
          <t>Thêm node mới</t>
        </is>
      </c>
      <c r="C73" s="10" t="inlineStr">
        <is>
          <t>Luồng ngoại lệ</t>
        </is>
      </c>
      <c r="D73" s="10" t="inlineStr">
        <is>
          <t>E3</t>
        </is>
      </c>
      <c r="E73" s="10" t="inlineStr">
        <is>
          <t>Dữ liệu không hợp lệ (port 70000, host có ký tự lạ): `400` kèm `errors` theo field.</t>
        </is>
      </c>
    </row>
    <row r="74">
      <c r="A74" s="10" t="inlineStr">
        <is>
          <t>UC-INV-01</t>
        </is>
      </c>
      <c r="B74" s="10" t="inlineStr">
        <is>
          <t>Thêm node mới</t>
        </is>
      </c>
      <c r="C74" s="10" t="inlineStr">
        <is>
          <t>Luồng ngoại lệ</t>
        </is>
      </c>
      <c r="D74" s="10" t="inlineStr">
        <is>
          <t>E4</t>
        </is>
      </c>
      <c r="E74" s="10" t="inlineStr">
        <is>
          <t>Kiểm tra kết nối thất bại: hiển thị nguyên nhân theo `failureKind` (sai mật khẩu, timeout, từ chối kết nối) kèm gợi ý; nếu bật `testConnectionFirst` thì trả `422` và không tạo node.</t>
        </is>
      </c>
    </row>
    <row r="75">
      <c r="A75" s="10" t="inlineStr">
        <is>
          <t>UC-INV-01</t>
        </is>
      </c>
      <c r="B75" s="10" t="inlineStr">
        <is>
          <t>Thêm node mới</t>
        </is>
      </c>
      <c r="C75" s="10" t="inlineStr">
        <is>
          <t>Luồng ngoại lệ</t>
        </is>
      </c>
      <c r="D75" s="10" t="inlineStr">
        <is>
          <t>E5</t>
        </is>
      </c>
      <c r="E75" s="10" t="inlineStr">
        <is>
          <t>Người dùng không phải ADMIN: `403` (OPERATOR/VIEWER không thấy nút, nhưng gọi thẳng API vẫn bị chặn).</t>
        </is>
      </c>
    </row>
    <row r="76">
      <c r="A76" s="10" t="inlineStr">
        <is>
          <t>UC-INV-01</t>
        </is>
      </c>
      <c r="B76" s="10" t="inlineStr">
        <is>
          <t>Thêm node mới</t>
        </is>
      </c>
      <c r="C76" s="10" t="inlineStr">
        <is>
          <t>Luồng ngoại lệ</t>
        </is>
      </c>
      <c r="D76" s="10" t="inlineStr">
        <is>
          <t>E6</t>
        </is>
      </c>
      <c r="E76" s="10" t="inlineStr">
        <is>
          <t>Mất kết nối khi đang lưu: transaction rollback; không có node “nửa vời”, không có event phát đi (nhờ outbox).</t>
        </is>
      </c>
    </row>
    <row r="77">
      <c r="A77" s="10" t="inlineStr">
        <is>
          <t>UC-INV-02</t>
        </is>
      </c>
      <c r="B77" s="10" t="inlineStr">
        <is>
          <t>Sửa thông tin node</t>
        </is>
      </c>
      <c r="C77" s="10" t="inlineStr">
        <is>
          <t>Luồng chính</t>
        </is>
      </c>
      <c r="D77" s="10" t="inlineStr">
        <is>
          <t>B1</t>
        </is>
      </c>
      <c r="E77" s="10" t="inlineStr">
        <is>
          <t>Hệ thống mở modal “Cập nhật máy chủ” với dữ liệu hiện tại được điền sẵn; ô credential hiển thị `••••••••`.</t>
        </is>
      </c>
    </row>
    <row r="78">
      <c r="A78" s="10" t="inlineStr">
        <is>
          <t>UC-INV-02</t>
        </is>
      </c>
      <c r="B78" s="10" t="inlineStr">
        <is>
          <t>Sửa thông tin node</t>
        </is>
      </c>
      <c r="C78" s="10" t="inlineStr">
        <is>
          <t>Luồng chính</t>
        </is>
      </c>
      <c r="D78" s="10" t="inlineStr">
        <is>
          <t>B2</t>
        </is>
      </c>
      <c r="E78" s="10" t="inlineStr">
        <is>
          <t>ADMIN sửa các trường cần thiết (tên, mô tả, cờ giám sát, mount path, chu kỳ riêng, tag).</t>
        </is>
      </c>
    </row>
    <row r="79">
      <c r="A79" s="10" t="inlineStr">
        <is>
          <t>UC-INV-02</t>
        </is>
      </c>
      <c r="B79" s="10" t="inlineStr">
        <is>
          <t>Sửa thông tin node</t>
        </is>
      </c>
      <c r="C79" s="10" t="inlineStr">
        <is>
          <t>Luồng chính</t>
        </is>
      </c>
      <c r="D79" s="10" t="inlineStr">
        <is>
          <t>B3</t>
        </is>
      </c>
      <c r="E79" s="10" t="inlineStr">
        <is>
          <t>Frontend chỉ gửi credential khi người dùng thực sự nhập giá trị mới (`changeCredential = true`).</t>
        </is>
      </c>
    </row>
    <row r="80">
      <c r="A80" s="10" t="inlineStr">
        <is>
          <t>UC-INV-02</t>
        </is>
      </c>
      <c r="B80" s="10" t="inlineStr">
        <is>
          <t>Sửa thông tin node</t>
        </is>
      </c>
      <c r="C80" s="10" t="inlineStr">
        <is>
          <t>Luồng chính</t>
        </is>
      </c>
      <c r="D80" s="10" t="inlineStr">
        <is>
          <t>B4</t>
        </is>
      </c>
      <c r="E80" s="10" t="inlineStr">
        <is>
          <t>Gọi `PUT /api/v1/nodes/{id}`; Inventory validate, kiểm tra trùng, cập nhật, phát `NodeUpdatedV1` với `changedFields[]`.</t>
        </is>
      </c>
    </row>
    <row r="81">
      <c r="A81" s="10" t="inlineStr">
        <is>
          <t>UC-INV-02</t>
        </is>
      </c>
      <c r="B81" s="10" t="inlineStr">
        <is>
          <t>Sửa thông tin node</t>
        </is>
      </c>
      <c r="C81" s="10" t="inlineStr">
        <is>
          <t>Luồng chính</t>
        </is>
      </c>
      <c r="D81" s="10" t="inlineStr">
        <is>
          <t>B5</t>
        </is>
      </c>
      <c r="E81" s="10" t="inlineStr">
        <is>
          <t>Monitoring cập nhật read model; Audit ghi `NODE_UPDATED` kèm diff (credential hiển thị `*`).</t>
        </is>
      </c>
    </row>
    <row r="82">
      <c r="A82" s="10" t="inlineStr">
        <is>
          <t>UC-INV-02</t>
        </is>
      </c>
      <c r="B82" s="10" t="inlineStr">
        <is>
          <t>Sửa thông tin node</t>
        </is>
      </c>
      <c r="C82" s="10" t="inlineStr">
        <is>
          <t>Luồng chính</t>
        </is>
      </c>
      <c r="D82" s="10" t="inlineStr">
        <is>
          <t>B6</t>
        </is>
      </c>
      <c r="E82" s="10" t="inlineStr">
        <is>
          <t>Frontend đóng modal, cập nhật hàng trong bảng, hiện toast.</t>
        </is>
      </c>
    </row>
    <row r="83">
      <c r="A83" s="10" t="inlineStr">
        <is>
          <t>UC-INV-02</t>
        </is>
      </c>
      <c r="B83" s="10" t="inlineStr">
        <is>
          <t>Sửa thông tin node</t>
        </is>
      </c>
      <c r="C83" s="10" t="inlineStr">
        <is>
          <t>Luồng thay thế</t>
        </is>
      </c>
      <c r="D83" s="10" t="inlineStr">
        <is>
          <t>A1</t>
        </is>
      </c>
      <c r="E83" s="10" t="inlineStr">
        <is>
          <t>Đổi credential: nhập giá trị mới → Inventory mã hóa lại và ghi đè; lần quét kế tiếp dùng credential mới.</t>
        </is>
      </c>
    </row>
    <row r="84">
      <c r="A84" s="10" t="inlineStr">
        <is>
          <t>UC-INV-02</t>
        </is>
      </c>
      <c r="B84" s="10" t="inlineStr">
        <is>
          <t>Sửa thông tin node</t>
        </is>
      </c>
      <c r="C84" s="10" t="inlineStr">
        <is>
          <t>Luồng thay thế</t>
        </is>
      </c>
      <c r="D84" s="10" t="inlineStr">
        <is>
          <t>A2</t>
        </is>
      </c>
      <c r="E84" s="10" t="inlineStr">
        <is>
          <t>Đổi host/port: fingerprint đã ghim bị xóa; hệ thống cảnh báo cần ghim lại ở lần kết nối tới.</t>
        </is>
      </c>
    </row>
    <row r="85">
      <c r="A85" s="10" t="inlineStr">
        <is>
          <t>UC-INV-02</t>
        </is>
      </c>
      <c r="B85" s="10" t="inlineStr">
        <is>
          <t>Sửa thông tin node</t>
        </is>
      </c>
      <c r="C85" s="10" t="inlineStr">
        <is>
          <t>Luồng thay thế</t>
        </is>
      </c>
      <c r="D85" s="10" t="inlineStr">
        <is>
          <t>A3</t>
        </is>
      </c>
      <c r="E85" s="10" t="inlineStr">
        <is>
          <t>Tắt một loại metric: bỏ chọn CPU → Monitoring không thu CPU nữa; Incident đóng các sự cố `CPU_HIGH` đang mở của node.</t>
        </is>
      </c>
    </row>
    <row r="86">
      <c r="A86" s="10" t="inlineStr">
        <is>
          <t>UC-INV-02</t>
        </is>
      </c>
      <c r="B86" s="10" t="inlineStr">
        <is>
          <t>Sửa thông tin node</t>
        </is>
      </c>
      <c r="C86" s="10" t="inlineStr">
        <is>
          <t>Luồng ngoại lệ</t>
        </is>
      </c>
      <c r="D86" s="10" t="inlineStr">
        <is>
          <t>E1</t>
        </is>
      </c>
      <c r="E86" s="10" t="inlineStr">
        <is>
          <t>Node đã bị xóa bởi người khác: `404 SOE-INV-404`; frontend làm mới danh sách.</t>
        </is>
      </c>
    </row>
    <row r="87">
      <c r="A87" s="10" t="inlineStr">
        <is>
          <t>UC-INV-02</t>
        </is>
      </c>
      <c r="B87" s="10" t="inlineStr">
        <is>
          <t>Sửa thông tin node</t>
        </is>
      </c>
      <c r="C87" s="10" t="inlineStr">
        <is>
          <t>Luồng ngoại lệ</t>
        </is>
      </c>
      <c r="D87" s="10" t="inlineStr">
        <is>
          <t>E2</t>
        </is>
      </c>
      <c r="E87" s="10" t="inlineStr">
        <is>
          <t>Xung đột chỉnh sửa đồng thời: `409` (optimistic concurrency); frontend đề nghị tải lại dữ liệu mới nhất.</t>
        </is>
      </c>
    </row>
    <row r="88">
      <c r="A88" s="10" t="inlineStr">
        <is>
          <t>UC-INV-02</t>
        </is>
      </c>
      <c r="B88" s="10" t="inlineStr">
        <is>
          <t>Sửa thông tin node</t>
        </is>
      </c>
      <c r="C88" s="10" t="inlineStr">
        <is>
          <t>Luồng ngoại lệ</t>
        </is>
      </c>
      <c r="D88" s="10" t="inlineStr">
        <is>
          <t>E3</t>
        </is>
      </c>
      <c r="E88" s="10" t="inlineStr">
        <is>
          <t>Giá trị mới trùng node khác: `409` như UC-INV-01/E1.</t>
        </is>
      </c>
    </row>
    <row r="89">
      <c r="A89" s="10" t="inlineStr">
        <is>
          <t>UC-INV-03</t>
        </is>
      </c>
      <c r="B89" s="10" t="inlineStr">
        <is>
          <t>Bật/tắt giám sát node</t>
        </is>
      </c>
      <c r="C89" s="10" t="inlineStr">
        <is>
          <t>Luồng chính</t>
        </is>
      </c>
      <c r="D89" s="10" t="inlineStr">
        <is>
          <t>B1</t>
        </is>
      </c>
      <c r="E89" s="10" t="inlineStr">
        <is>
          <t>Người dùng gạt công tắc; frontend cập nhật optimistic và gọi `PUT /nodes/{id}/monitoring`.</t>
        </is>
      </c>
    </row>
    <row r="90">
      <c r="A90" s="10" t="inlineStr">
        <is>
          <t>UC-INV-03</t>
        </is>
      </c>
      <c r="B90" s="10" t="inlineStr">
        <is>
          <t>Bật/tắt giám sát node</t>
        </is>
      </c>
      <c r="C90" s="10" t="inlineStr">
        <is>
          <t>Luồng chính</t>
        </is>
      </c>
      <c r="D90" s="10" t="inlineStr">
        <is>
          <t>B2</t>
        </is>
      </c>
      <c r="E90" s="10" t="inlineStr">
        <is>
          <t>Inventory cập nhật `isActive`, phát `NodeMonitoringToggledV1`.</t>
        </is>
      </c>
    </row>
    <row r="91">
      <c r="A91" s="10" t="inlineStr">
        <is>
          <t>UC-INV-03</t>
        </is>
      </c>
      <c r="B91" s="10" t="inlineStr">
        <is>
          <t>Bật/tắt giám sát node</t>
        </is>
      </c>
      <c r="C91" s="10" t="inlineStr">
        <is>
          <t>Luồng chính</t>
        </is>
      </c>
      <c r="D91" s="10" t="inlineStr">
        <is>
          <t>B3</t>
        </is>
      </c>
      <c r="E91" s="10" t="inlineStr">
        <is>
          <t>Monitoring ngừng (hoặc bắt đầu) xếp lịch quét cho node từ chu kỳ kế tiếp.</t>
        </is>
      </c>
    </row>
    <row r="92">
      <c r="A92" s="10" t="inlineStr">
        <is>
          <t>UC-INV-03</t>
        </is>
      </c>
      <c r="B92" s="10" t="inlineStr">
        <is>
          <t>Bật/tắt giám sát node</t>
        </is>
      </c>
      <c r="C92" s="10" t="inlineStr">
        <is>
          <t>Luồng chính</t>
        </is>
      </c>
      <c r="D92" s="10" t="inlineStr">
        <is>
          <t>B4</t>
        </is>
      </c>
      <c r="E92" s="10" t="inlineStr">
        <is>
          <t>Khi tắt: Incident đóng mọi sự cố chưa đóng của node với lý do “Node ngừng giám sát”; Metrics đặt `status = MONITORING_OFF`.</t>
        </is>
      </c>
    </row>
    <row r="93">
      <c r="A93" s="10" t="inlineStr">
        <is>
          <t>UC-INV-03</t>
        </is>
      </c>
      <c r="B93" s="10" t="inlineStr">
        <is>
          <t>Bật/tắt giám sát node</t>
        </is>
      </c>
      <c r="C93" s="10" t="inlineStr">
        <is>
          <t>Luồng chính</t>
        </is>
      </c>
      <c r="D93" s="10" t="inlineStr">
        <is>
          <t>B5</t>
        </is>
      </c>
      <c r="E93" s="10" t="inlineStr">
        <is>
          <t>Frontend hiện toast; các chỉ số của node chuyển sang trạng thái “Đang tắt” thay vì hiển thị số cũ.</t>
        </is>
      </c>
    </row>
    <row r="94">
      <c r="A94" s="10" t="inlineStr">
        <is>
          <t>UC-INV-03</t>
        </is>
      </c>
      <c r="B94" s="10" t="inlineStr">
        <is>
          <t>Bật/tắt giám sát node</t>
        </is>
      </c>
      <c r="C94" s="10" t="inlineStr">
        <is>
          <t>Luồng ngoại lệ</t>
        </is>
      </c>
      <c r="D94" s="10" t="inlineStr">
        <is>
          <t>E1</t>
        </is>
      </c>
      <c r="E94" s="10" t="inlineStr">
        <is>
          <t>API lỗi: rollback trạng thái công tắc, hiện toast lỗi.</t>
        </is>
      </c>
    </row>
    <row r="95">
      <c r="A95" s="10" t="inlineStr">
        <is>
          <t>UC-INV-03</t>
        </is>
      </c>
      <c r="B95" s="10" t="inlineStr">
        <is>
          <t>Bật/tắt giám sát node</t>
        </is>
      </c>
      <c r="C95" s="10" t="inlineStr">
        <is>
          <t>Luồng ngoại lệ</t>
        </is>
      </c>
      <c r="D95" s="10" t="inlineStr">
        <is>
          <t>E2</t>
        </is>
      </c>
      <c r="E95" s="10" t="inlineStr">
        <is>
          <t>VIEWER thao tác: không thấy công tắc; gọi thẳng API nhận `403`.</t>
        </is>
      </c>
    </row>
    <row r="96">
      <c r="A96" s="10" t="inlineStr">
        <is>
          <t>UC-INV-04</t>
        </is>
      </c>
      <c r="B96" s="10" t="inlineStr">
        <is>
          <t>Xóa node</t>
        </is>
      </c>
      <c r="C96" s="10" t="inlineStr">
        <is>
          <t>Luồng chính</t>
        </is>
      </c>
      <c r="D96" s="10" t="inlineStr">
        <is>
          <t>B1</t>
        </is>
      </c>
      <c r="E96" s="10" t="inlineStr">
        <is>
          <t>Hệ thống hiển thị hộp thoại xác nhận nêu rõ tên node và hệ quả: ngừng giám sát, đóng sự cố đang mở, dữ liệu lịch sử vẫn tra cứu được trong 30 ngày.</t>
        </is>
      </c>
    </row>
    <row r="97">
      <c r="A97" s="10" t="inlineStr">
        <is>
          <t>UC-INV-04</t>
        </is>
      </c>
      <c r="B97" s="10" t="inlineStr">
        <is>
          <t>Xóa node</t>
        </is>
      </c>
      <c r="C97" s="10" t="inlineStr">
        <is>
          <t>Luồng chính</t>
        </is>
      </c>
      <c r="D97" s="10" t="inlineStr">
        <is>
          <t>B2</t>
        </is>
      </c>
      <c r="E97" s="10" t="inlineStr">
        <is>
          <t>ADMIN xác nhận; frontend gọi `DELETE /api/v1/nodes/{id}`.</t>
        </is>
      </c>
    </row>
    <row r="98">
      <c r="A98" s="10" t="inlineStr">
        <is>
          <t>UC-INV-04</t>
        </is>
      </c>
      <c r="B98" s="10" t="inlineStr">
        <is>
          <t>Xóa node</t>
        </is>
      </c>
      <c r="C98" s="10" t="inlineStr">
        <is>
          <t>Luồng chính</t>
        </is>
      </c>
      <c r="D98" s="10" t="inlineStr">
        <is>
          <t>B3</t>
        </is>
      </c>
      <c r="E98" s="10" t="inlineStr">
        <is>
          <t>Inventory đánh dấu `DeletedAt`, xóa cứng bản ghi credential, phát `NodeDeletedV1`, trả `204`.</t>
        </is>
      </c>
    </row>
    <row r="99">
      <c r="A99" s="10" t="inlineStr">
        <is>
          <t>UC-INV-04</t>
        </is>
      </c>
      <c r="B99" s="10" t="inlineStr">
        <is>
          <t>Xóa node</t>
        </is>
      </c>
      <c r="C99" s="10" t="inlineStr">
        <is>
          <t>Luồng chính</t>
        </is>
      </c>
      <c r="D99" s="10" t="inlineStr">
        <is>
          <t>B4</t>
        </is>
      </c>
      <c r="E99" s="10" t="inlineStr">
        <is>
          <t>Monitoring bỏ node khỏi lịch; Incident đóng sự cố chưa đóng; Metrics đánh dấu dữ liệu lưu trữ; Audit ghi `NODE_DELETED`.</t>
        </is>
      </c>
    </row>
    <row r="100">
      <c r="A100" s="10" t="inlineStr">
        <is>
          <t>UC-INV-04</t>
        </is>
      </c>
      <c r="B100" s="10" t="inlineStr">
        <is>
          <t>Xóa node</t>
        </is>
      </c>
      <c r="C100" s="10" t="inlineStr">
        <is>
          <t>Luồng chính</t>
        </is>
      </c>
      <c r="D100" s="10" t="inlineStr">
        <is>
          <t>B5</t>
        </is>
      </c>
      <c r="E100" s="10" t="inlineStr">
        <is>
          <t>Frontend xóa hàng khỏi bảng và hiện toast.</t>
        </is>
      </c>
    </row>
    <row r="101">
      <c r="A101" s="10" t="inlineStr">
        <is>
          <t>UC-INV-04</t>
        </is>
      </c>
      <c r="B101" s="10" t="inlineStr">
        <is>
          <t>Xóa node</t>
        </is>
      </c>
      <c r="C101" s="10" t="inlineStr">
        <is>
          <t>Luồng ngoại lệ</t>
        </is>
      </c>
      <c r="D101" s="10" t="inlineStr">
        <is>
          <t>E1</t>
        </is>
      </c>
      <c r="E101" s="10" t="inlineStr">
        <is>
          <t>Node không tồn tại: `404`, làm mới danh sách.</t>
        </is>
      </c>
    </row>
    <row r="102">
      <c r="A102" s="10" t="inlineStr">
        <is>
          <t>UC-INV-04</t>
        </is>
      </c>
      <c r="B102" s="10" t="inlineStr">
        <is>
          <t>Xóa node</t>
        </is>
      </c>
      <c r="C102" s="10" t="inlineStr">
        <is>
          <t>Luồng ngoại lệ</t>
        </is>
      </c>
      <c r="D102" s="10" t="inlineStr">
        <is>
          <t>E2</t>
        </is>
      </c>
      <c r="E102" s="10" t="inlineStr">
        <is>
          <t>Người dùng hủy: đóng hộp thoại, không thay đổi gì.</t>
        </is>
      </c>
    </row>
    <row r="103">
      <c r="A103" s="10" t="inlineStr">
        <is>
          <t>UC-INV-04</t>
        </is>
      </c>
      <c r="B103" s="10" t="inlineStr">
        <is>
          <t>Xóa node</t>
        </is>
      </c>
      <c r="C103" s="10" t="inlineStr">
        <is>
          <t>Luồng ngoại lệ</t>
        </is>
      </c>
      <c r="D103" s="10" t="inlineStr">
        <is>
          <t>E3</t>
        </is>
      </c>
      <c r="E103" s="10" t="inlineStr">
        <is>
          <t>Message `NodeDeletedV1` xử lý muộn: một lần quét đang chạy có thể hoàn tất; Metrics/Incident bỏ qua dữ liệu của node đã xóa (BR-MET/INC).</t>
        </is>
      </c>
    </row>
    <row r="104">
      <c r="A104" s="10" t="inlineStr">
        <is>
          <t>UC-INV-05</t>
        </is>
      </c>
      <c r="B104" s="10" t="inlineStr">
        <is>
          <t>Xử lý thay đổi host key</t>
        </is>
      </c>
      <c r="C104" s="10" t="inlineStr">
        <is>
          <t>Luồng chính</t>
        </is>
      </c>
      <c r="D104" s="10" t="inlineStr">
        <is>
          <t>B1</t>
        </is>
      </c>
      <c r="E104" s="10" t="inlineStr">
        <is>
          <t>Worker so sánh fingerprint nhận được với bản đã ghim → khác nhau.</t>
        </is>
      </c>
    </row>
    <row r="105">
      <c r="A105" s="10" t="inlineStr">
        <is>
          <t>UC-INV-05</t>
        </is>
      </c>
      <c r="B105" s="10" t="inlineStr">
        <is>
          <t>Xử lý thay đổi host key</t>
        </is>
      </c>
      <c r="C105" s="10" t="inlineStr">
        <is>
          <t>Luồng chính</t>
        </is>
      </c>
      <c r="D105" s="10" t="inlineStr">
        <is>
          <t>B2</t>
        </is>
      </c>
      <c r="E105" s="10" t="inlineStr">
        <is>
          <t>Worker hủy kết nối trước khi gửi credential, phát `NodeUnreachableV1` với `failureKind = HostKeyMismatch`.</t>
        </is>
      </c>
    </row>
    <row r="106">
      <c r="A106" s="10" t="inlineStr">
        <is>
          <t>UC-INV-05</t>
        </is>
      </c>
      <c r="B106" s="10" t="inlineStr">
        <is>
          <t>Xử lý thay đổi host key</t>
        </is>
      </c>
      <c r="C106" s="10" t="inlineStr">
        <is>
          <t>Luồng chính</t>
        </is>
      </c>
      <c r="D106" s="10" t="inlineStr">
        <is>
          <t>B3</t>
        </is>
      </c>
      <c r="E106" s="10" t="inlineStr">
        <is>
          <t>Incident mở sự cố `HOST_KEY_MISMATCH` mức CRITICAL ngay lần đầu.</t>
        </is>
      </c>
    </row>
    <row r="107">
      <c r="A107" s="10" t="inlineStr">
        <is>
          <t>UC-INV-05</t>
        </is>
      </c>
      <c r="B107" s="10" t="inlineStr">
        <is>
          <t>Xử lý thay đổi host key</t>
        </is>
      </c>
      <c r="C107" s="10" t="inlineStr">
        <is>
          <t>Luồng chính</t>
        </is>
      </c>
      <c r="D107" s="10" t="inlineStr">
        <is>
          <t>B4</t>
        </is>
      </c>
      <c r="E107" s="10" t="inlineStr">
        <is>
          <t>Notification gửi cảnh báo tới các kênh; Audit ghi `HOSTKEY_MISMATCH_BLOCKED`.</t>
        </is>
      </c>
    </row>
    <row r="108">
      <c r="A108" s="10" t="inlineStr">
        <is>
          <t>UC-INV-05</t>
        </is>
      </c>
      <c r="B108" s="10" t="inlineStr">
        <is>
          <t>Xử lý thay đổi host key</t>
        </is>
      </c>
      <c r="C108" s="10" t="inlineStr">
        <is>
          <t>Luồng chính</t>
        </is>
      </c>
      <c r="D108" s="10" t="inlineStr">
        <is>
          <t>B5</t>
        </is>
      </c>
      <c r="E108" s="10" t="inlineStr">
        <is>
          <t>ADMIN mở màn hình node, thấy cảnh báo đỏ giải thích rủi ro (máy chủ cài lại, đổi khóa, hoặc bị tấn công trung gian).</t>
        </is>
      </c>
    </row>
    <row r="109">
      <c r="A109" s="10" t="inlineStr">
        <is>
          <t>UC-INV-05</t>
        </is>
      </c>
      <c r="B109" s="10" t="inlineStr">
        <is>
          <t>Xử lý thay đổi host key</t>
        </is>
      </c>
      <c r="C109" s="10" t="inlineStr">
        <is>
          <t>Luồng chính</t>
        </is>
      </c>
      <c r="D109" s="10" t="inlineStr">
        <is>
          <t>B6</t>
        </is>
      </c>
      <c r="E109" s="10" t="inlineStr">
        <is>
          <t>ADMIN xác minh ngoài hệ thống (so sánh fingerprint trên máy chủ thật).</t>
        </is>
      </c>
    </row>
    <row r="110">
      <c r="A110" s="10" t="inlineStr">
        <is>
          <t>UC-INV-05</t>
        </is>
      </c>
      <c r="B110" s="10" t="inlineStr">
        <is>
          <t>Xử lý thay đổi host key</t>
        </is>
      </c>
      <c r="C110" s="10" t="inlineStr">
        <is>
          <t>Luồng chính</t>
        </is>
      </c>
      <c r="D110" s="10" t="inlineStr">
        <is>
          <t>B7</t>
        </is>
      </c>
      <c r="E110" s="10" t="inlineStr">
        <is>
          <t>Nếu hợp lệ: ADMIN bấm “Ghim lại host key”, nhập tên node để xác nhận → `POST /nodes/{id}/host-key/pin`.</t>
        </is>
      </c>
    </row>
    <row r="111">
      <c r="A111" s="10" t="inlineStr">
        <is>
          <t>UC-INV-05</t>
        </is>
      </c>
      <c r="B111" s="10" t="inlineStr">
        <is>
          <t>Xử lý thay đổi host key</t>
        </is>
      </c>
      <c r="C111" s="10" t="inlineStr">
        <is>
          <t>Luồng chính</t>
        </is>
      </c>
      <c r="D111" s="10" t="inlineStr">
        <is>
          <t>B8</t>
        </is>
      </c>
      <c r="E111" s="10" t="inlineStr">
        <is>
          <t>Inventory cập nhật fingerprint, Audit ghi `NODE_HOSTKEY_PINNED`; lần quét kế tiếp hoạt động bình thường và sự cố được tự đóng khi thu được metric.</t>
        </is>
      </c>
    </row>
    <row r="112">
      <c r="A112" s="10" t="inlineStr">
        <is>
          <t>UC-INV-05</t>
        </is>
      </c>
      <c r="B112" s="10" t="inlineStr">
        <is>
          <t>Xử lý thay đổi host key</t>
        </is>
      </c>
      <c r="C112" s="10" t="inlineStr">
        <is>
          <t>Luồng thay thế</t>
        </is>
      </c>
      <c r="D112" s="10" t="inlineStr">
        <is>
          <t>A1</t>
        </is>
      </c>
      <c r="E112" s="10" t="inlineStr">
        <is>
          <t>ADMIN nghi bị tấn công: tắt giám sát node, xử lý hạ tầng, sau đó ghim lại.</t>
        </is>
      </c>
    </row>
    <row r="113">
      <c r="A113" s="10" t="inlineStr">
        <is>
          <t>UC-INV-05</t>
        </is>
      </c>
      <c r="B113" s="10" t="inlineStr">
        <is>
          <t>Xử lý thay đổi host key</t>
        </is>
      </c>
      <c r="C113" s="10" t="inlineStr">
        <is>
          <t>Luồng ngoại lệ</t>
        </is>
      </c>
      <c r="D113" s="10" t="inlineStr">
        <is>
          <t>E1</t>
        </is>
      </c>
      <c r="E113" s="10" t="inlineStr">
        <is>
          <t>Người dùng không phải ADMIN bấm ghim lại: `403`.</t>
        </is>
      </c>
    </row>
    <row r="114">
      <c r="A114" s="10" t="inlineStr">
        <is>
          <t>UC-INV-05</t>
        </is>
      </c>
      <c r="B114" s="10" t="inlineStr">
        <is>
          <t>Xử lý thay đổi host key</t>
        </is>
      </c>
      <c r="C114" s="10" t="inlineStr">
        <is>
          <t>Luồng ngoại lệ</t>
        </is>
      </c>
      <c r="D114" s="10" t="inlineStr">
        <is>
          <t>E2</t>
        </is>
      </c>
      <c r="E114" s="10" t="inlineStr">
        <is>
          <t>Node đã bị xóa trong lúc xử lý: `404`.</t>
        </is>
      </c>
    </row>
    <row r="115">
      <c r="A115" s="10" t="inlineStr">
        <is>
          <t>UC-MON-01</t>
        </is>
      </c>
      <c r="B115" s="10" t="inlineStr">
        <is>
          <t>Quét định kỳ toàn hệ thống</t>
        </is>
      </c>
      <c r="C115" s="10" t="inlineStr">
        <is>
          <t>Luồng chính</t>
        </is>
      </c>
      <c r="D115" s="10" t="inlineStr">
        <is>
          <t>B1</t>
        </is>
      </c>
      <c r="E115" s="10" t="inlineStr">
        <is>
          <t>Quartz kích hoạt job `ScanCycleJob` trên đúng một instance Scheduler (cluster lock).</t>
        </is>
      </c>
    </row>
    <row r="116">
      <c r="A116" s="10" t="inlineStr">
        <is>
          <t>UC-MON-01</t>
        </is>
      </c>
      <c r="B116" s="10" t="inlineStr">
        <is>
          <t>Quét định kỳ toàn hệ thống</t>
        </is>
      </c>
      <c r="C116" s="10" t="inlineStr">
        <is>
          <t>Luồng chính</t>
        </is>
      </c>
      <c r="D116" s="10" t="inlineStr">
        <is>
          <t>B2</t>
        </is>
      </c>
      <c r="E116" s="10" t="inlineStr">
        <is>
          <t>Scheduler lấy danh sách node `isActive` đến hạn quét từ read model `MonitoredNodes`.</t>
        </is>
      </c>
    </row>
    <row r="117">
      <c r="A117" s="10" t="inlineStr">
        <is>
          <t>UC-MON-01</t>
        </is>
      </c>
      <c r="B117" s="10" t="inlineStr">
        <is>
          <t>Quét định kỳ toàn hệ thống</t>
        </is>
      </c>
      <c r="C117" s="10" t="inlineStr">
        <is>
          <t>Luồng chính</t>
        </is>
      </c>
      <c r="D117" s="10" t="inlineStr">
        <is>
          <t>B3</t>
        </is>
      </c>
      <c r="E117" s="10" t="inlineStr">
        <is>
          <t>Với mỗi node, phát `CheckNodeV1` (`checkId`, `nodeId`, danh sách metric cần thu, `reason = Scheduled`, TTL một chu kỳ).</t>
        </is>
      </c>
    </row>
    <row r="118">
      <c r="A118" s="10" t="inlineStr">
        <is>
          <t>UC-MON-01</t>
        </is>
      </c>
      <c r="B118" s="10" t="inlineStr">
        <is>
          <t>Quét định kỳ toàn hệ thống</t>
        </is>
      </c>
      <c r="C118" s="10" t="inlineStr">
        <is>
          <t>Luồng chính</t>
        </is>
      </c>
      <c r="D118" s="10" t="inlineStr">
        <is>
          <t>B4</t>
        </is>
      </c>
      <c r="E118" s="10" t="inlineStr">
        <is>
          <t>Scheduler ghi metric `soe_scan_cycle_coverage_ratio` và thời điểm bắt đầu chu kỳ.</t>
        </is>
      </c>
    </row>
    <row r="119">
      <c r="A119" s="10" t="inlineStr">
        <is>
          <t>UC-MON-01</t>
        </is>
      </c>
      <c r="B119" s="10" t="inlineStr">
        <is>
          <t>Quét định kỳ toàn hệ thống</t>
        </is>
      </c>
      <c r="C119" s="10" t="inlineStr">
        <is>
          <t>Luồng chính</t>
        </is>
      </c>
      <c r="D119" s="10" t="inlineStr">
        <is>
          <t>B5</t>
        </is>
      </c>
      <c r="E119" s="10" t="inlineStr">
        <is>
          <t>RabbitMQ phân phối message cho các Worker rảnh (competing consumers).</t>
        </is>
      </c>
    </row>
    <row r="120">
      <c r="A120" s="10" t="inlineStr">
        <is>
          <t>UC-MON-01</t>
        </is>
      </c>
      <c r="B120" s="10" t="inlineStr">
        <is>
          <t>Quét định kỳ toàn hệ thống</t>
        </is>
      </c>
      <c r="C120" s="10" t="inlineStr">
        <is>
          <t>Luồng chính</t>
        </is>
      </c>
      <c r="D120" s="10" t="inlineStr">
        <is>
          <t>B6</t>
        </is>
      </c>
      <c r="E120" s="10" t="inlineStr">
        <is>
          <t>Worker nhận message, kiểm tra message chưa quá hạn, lấy thông tin node từ read model.</t>
        </is>
      </c>
    </row>
    <row r="121">
      <c r="A121" s="10" t="inlineStr">
        <is>
          <t>UC-MON-01</t>
        </is>
      </c>
      <c r="B121" s="10" t="inlineStr">
        <is>
          <t>Quét định kỳ toàn hệ thống</t>
        </is>
      </c>
      <c r="C121" s="10" t="inlineStr">
        <is>
          <t>Luồng chính</t>
        </is>
      </c>
      <c r="D121" s="10" t="inlineStr">
        <is>
          <t>B7</t>
        </is>
      </c>
      <c r="E121" s="10" t="inlineStr">
        <is>
          <t>Worker gọi Inventory `GET /internal/nodes/{id}/credentials` (mTLS, scope riêng); Inventory ghi audit `CREDENTIAL_ACCESSED`.</t>
        </is>
      </c>
    </row>
    <row r="122">
      <c r="A122" s="10" t="inlineStr">
        <is>
          <t>UC-MON-01</t>
        </is>
      </c>
      <c r="B122" s="10" t="inlineStr">
        <is>
          <t>Quét định kỳ toàn hệ thống</t>
        </is>
      </c>
      <c r="C122" s="10" t="inlineStr">
        <is>
          <t>Luồng chính</t>
        </is>
      </c>
      <c r="D122" s="10" t="inlineStr">
        <is>
          <t>B8</t>
        </is>
      </c>
      <c r="E122" s="10" t="inlineStr">
        <is>
          <t>Worker mở phiên SSH: kiểm tra host key khớp fingerprint đã ghim → xác thực → chạy lệnh thu CPU (`/proc/stat` hai lần cách 1 giây), RAM (`free`), Disk (`df` theo mount path).</t>
        </is>
      </c>
    </row>
    <row r="123">
      <c r="A123" s="10" t="inlineStr">
        <is>
          <t>UC-MON-01</t>
        </is>
      </c>
      <c r="B123" s="10" t="inlineStr">
        <is>
          <t>Quét định kỳ toàn hệ thống</t>
        </is>
      </c>
      <c r="C123" s="10" t="inlineStr">
        <is>
          <t>Luồng chính</t>
        </is>
      </c>
      <c r="D123" s="10" t="inlineStr">
        <is>
          <t>B9</t>
        </is>
      </c>
      <c r="E123" s="10" t="inlineStr">
        <is>
          <t>Worker phân tích kết quả thành `MetricSnapshot` (0–100, hai chữ số thập phân; không đọc được ⇒ `null`), đóng phiên SSH, xóa credential khỏi bộ nhớ.</t>
        </is>
      </c>
    </row>
    <row r="124">
      <c r="A124" s="10" t="inlineStr">
        <is>
          <t>UC-MON-01</t>
        </is>
      </c>
      <c r="B124" s="10" t="inlineStr">
        <is>
          <t>Quét định kỳ toàn hệ thống</t>
        </is>
      </c>
      <c r="C124" s="10" t="inlineStr">
        <is>
          <t>Luồng chính</t>
        </is>
      </c>
      <c r="D124" s="10" t="inlineStr">
        <is>
          <t>B10</t>
        </is>
      </c>
      <c r="E124" s="10" t="inlineStr">
        <is>
          <t>Worker ghi `CheckRuns` và phát `MetricCollectedV1`.</t>
        </is>
      </c>
    </row>
    <row r="125">
      <c r="A125" s="10" t="inlineStr">
        <is>
          <t>UC-MON-01</t>
        </is>
      </c>
      <c r="B125" s="10" t="inlineStr">
        <is>
          <t>Quét định kỳ toàn hệ thống</t>
        </is>
      </c>
      <c r="C125" s="10" t="inlineStr">
        <is>
          <t>Luồng chính</t>
        </is>
      </c>
      <c r="D125" s="10" t="inlineStr">
        <is>
          <t>B11</t>
        </is>
      </c>
      <c r="E125" s="10" t="inlineStr">
        <is>
          <t>Metrics lưu snapshot và cập nhật `MetricLatest`; Incident đánh giá ngưỡng (UC-INC-01); Realtime đẩy dữ liệu tới client đang mở Dashboard/Node Detail.</t>
        </is>
      </c>
    </row>
    <row r="126">
      <c r="A126" s="10" t="inlineStr">
        <is>
          <t>UC-MON-01</t>
        </is>
      </c>
      <c r="B126" s="10" t="inlineStr">
        <is>
          <t>Quét định kỳ toàn hệ thống</t>
        </is>
      </c>
      <c r="C126" s="10" t="inlineStr">
        <is>
          <t>Luồng thay thế</t>
        </is>
      </c>
      <c r="D126" s="10" t="inlineStr">
        <is>
          <t>A1</t>
        </is>
      </c>
      <c r="E126" s="10" t="inlineStr">
        <is>
          <t>Node có chu kỳ riêng: chỉ phát lệnh khi `now − lastCheckedAt ≥ checkIntervalSeconds`.</t>
        </is>
      </c>
    </row>
    <row r="127">
      <c r="A127" s="10" t="inlineStr">
        <is>
          <t>UC-MON-01</t>
        </is>
      </c>
      <c r="B127" s="10" t="inlineStr">
        <is>
          <t>Quét định kỳ toàn hệ thống</t>
        </is>
      </c>
      <c r="C127" s="10" t="inlineStr">
        <is>
          <t>Luồng thay thế</t>
        </is>
      </c>
      <c r="D127" s="10" t="inlineStr">
        <is>
          <t>A2</t>
        </is>
      </c>
      <c r="E127" s="10" t="inlineStr">
        <is>
          <t>Node chỉ giám sát một phần: message chỉ liệt kê metric được bật; Worker chỉ chạy lệnh tương ứng.</t>
        </is>
      </c>
    </row>
    <row r="128">
      <c r="A128" s="10" t="inlineStr">
        <is>
          <t>UC-MON-01</t>
        </is>
      </c>
      <c r="B128" s="10" t="inlineStr">
        <is>
          <t>Quét định kỳ toàn hệ thống</t>
        </is>
      </c>
      <c r="C128" s="10" t="inlineStr">
        <is>
          <t>Luồng thay thế</t>
        </is>
      </c>
      <c r="D128" s="10" t="inlineStr">
        <is>
          <t>A3</t>
        </is>
      </c>
      <c r="E128" s="10" t="inlineStr">
        <is>
          <t>Hàng đợi tăng cao: KEDA tăng số Worker; chu kỳ vẫn hoàn tất trong hạn.</t>
        </is>
      </c>
    </row>
    <row r="129">
      <c r="A129" s="10" t="inlineStr">
        <is>
          <t>UC-MON-01</t>
        </is>
      </c>
      <c r="B129" s="10" t="inlineStr">
        <is>
          <t>Quét định kỳ toàn hệ thống</t>
        </is>
      </c>
      <c r="C129" s="10" t="inlineStr">
        <is>
          <t>Luồng thay thế</t>
        </is>
      </c>
      <c r="D129" s="10" t="inlineStr">
        <is>
          <t>A4</t>
        </is>
      </c>
      <c r="E129" s="10" t="inlineStr">
        <is>
          <t>Scheduler bị tắt bởi ADMIN: không phát lệnh; Dashboard hiển thị “Giám sát đang tạm dừng”.</t>
        </is>
      </c>
    </row>
    <row r="130">
      <c r="A130" s="10" t="inlineStr">
        <is>
          <t>UC-MON-01</t>
        </is>
      </c>
      <c r="B130" s="10" t="inlineStr">
        <is>
          <t>Quét định kỳ toàn hệ thống</t>
        </is>
      </c>
      <c r="C130" s="10" t="inlineStr">
        <is>
          <t>Luồng ngoại lệ</t>
        </is>
      </c>
      <c r="D130" s="10" t="inlineStr">
        <is>
          <t>E1</t>
        </is>
      </c>
      <c r="E130" s="10" t="inlineStr">
        <is>
          <t>SSH timeout/không kết nối được: xem UC-MON-03.</t>
        </is>
      </c>
    </row>
    <row r="131">
      <c r="A131" s="10" t="inlineStr">
        <is>
          <t>UC-MON-01</t>
        </is>
      </c>
      <c r="B131" s="10" t="inlineStr">
        <is>
          <t>Quét định kỳ toàn hệ thống</t>
        </is>
      </c>
      <c r="C131" s="10" t="inlineStr">
        <is>
          <t>Luồng ngoại lệ</t>
        </is>
      </c>
      <c r="D131" s="10" t="inlineStr">
        <is>
          <t>E2</t>
        </is>
      </c>
      <c r="E131" s="10" t="inlineStr">
        <is>
          <t>Host key không khớp: hủy kết nối, xem UC-INV-05.</t>
        </is>
      </c>
    </row>
    <row r="132">
      <c r="A132" s="10" t="inlineStr">
        <is>
          <t>UC-MON-01</t>
        </is>
      </c>
      <c r="B132" s="10" t="inlineStr">
        <is>
          <t>Quét định kỳ toàn hệ thống</t>
        </is>
      </c>
      <c r="C132" s="10" t="inlineStr">
        <is>
          <t>Luồng ngoại lệ</t>
        </is>
      </c>
      <c r="D132" s="10" t="inlineStr">
        <is>
          <t>E3</t>
        </is>
      </c>
      <c r="E132" s="10" t="inlineStr">
        <is>
          <t>Inventory không phản hồi: Worker retry theo Polly; hết retry thì message quay lại queue và được thử lại ở chu kỳ sau; cảnh báo `SoeScanCoverageLow` nếu kéo dài.</t>
        </is>
      </c>
    </row>
    <row r="133">
      <c r="A133" s="10" t="inlineStr">
        <is>
          <t>UC-MON-01</t>
        </is>
      </c>
      <c r="B133" s="10" t="inlineStr">
        <is>
          <t>Quét định kỳ toàn hệ thống</t>
        </is>
      </c>
      <c r="C133" s="10" t="inlineStr">
        <is>
          <t>Luồng ngoại lệ</t>
        </is>
      </c>
      <c r="D133" s="10" t="inlineStr">
        <is>
          <t>E4</t>
        </is>
      </c>
      <c r="E133" s="10" t="inlineStr">
        <is>
          <t>Kết quả lệnh không phân tích được: metric tương ứng `null`, ghi cảnh báo với `failureKind = ParseError`; các metric khác vẫn được lưu.</t>
        </is>
      </c>
    </row>
    <row r="134">
      <c r="A134" s="10" t="inlineStr">
        <is>
          <t>UC-MON-01</t>
        </is>
      </c>
      <c r="B134" s="10" t="inlineStr">
        <is>
          <t>Quét định kỳ toàn hệ thống</t>
        </is>
      </c>
      <c r="C134" s="10" t="inlineStr">
        <is>
          <t>Luồng ngoại lệ</t>
        </is>
      </c>
      <c r="D134" s="10" t="inlineStr">
        <is>
          <t>E5</t>
        </is>
      </c>
      <c r="E134" s="10" t="inlineStr">
        <is>
          <t>Message quá hạn: Worker bỏ qua để tránh quét dồn sau sự cố (FR-MON-016).</t>
        </is>
      </c>
    </row>
    <row r="135">
      <c r="A135" s="10" t="inlineStr">
        <is>
          <t>UC-MON-01</t>
        </is>
      </c>
      <c r="B135" s="10" t="inlineStr">
        <is>
          <t>Quét định kỳ toàn hệ thống</t>
        </is>
      </c>
      <c r="C135" s="10" t="inlineStr">
        <is>
          <t>Luồng ngoại lệ</t>
        </is>
      </c>
      <c r="D135" s="10" t="inlineStr">
        <is>
          <t>E6</t>
        </is>
      </c>
      <c r="E135" s="10" t="inlineStr">
        <is>
          <t>Worker bị dừng giữa chừng: message chưa ack quay lại queue và được xử lý lại; nhờ idempotency không sinh dữ liệu trùng.</t>
        </is>
      </c>
    </row>
    <row r="136">
      <c r="A136" s="10" t="inlineStr">
        <is>
          <t>UC-MON-01</t>
        </is>
      </c>
      <c r="B136" s="10" t="inlineStr">
        <is>
          <t>Quét định kỳ toàn hệ thống</t>
        </is>
      </c>
      <c r="C136" s="10" t="inlineStr">
        <is>
          <t>Luồng ngoại lệ</t>
        </is>
      </c>
      <c r="D136" s="10" t="inlineStr">
        <is>
          <t>E7</t>
        </is>
      </c>
      <c r="E136" s="10" t="inlineStr">
        <is>
          <t>RabbitMQ không khả dụng: Scheduler ghi outbox, phát lại khi broker phục hồi; cảnh báo hạ tầng.</t>
        </is>
      </c>
    </row>
    <row r="137">
      <c r="A137" s="10" t="inlineStr">
        <is>
          <t>UC-MON-02</t>
        </is>
      </c>
      <c r="B137" s="10" t="inlineStr">
        <is>
          <t>Kiểm tra node ngay (Check now)</t>
        </is>
      </c>
      <c r="C137" s="10" t="inlineStr">
        <is>
          <t>Luồng chính</t>
        </is>
      </c>
      <c r="D137" s="10" t="inlineStr">
        <is>
          <t>B1</t>
        </is>
      </c>
      <c r="E137" s="10" t="inlineStr">
        <is>
          <t>Người dùng bấm nút; frontend gọi `POST /api/v1/nodes/{id}/check-now`.</t>
        </is>
      </c>
    </row>
    <row r="138">
      <c r="A138" s="10" t="inlineStr">
        <is>
          <t>UC-MON-02</t>
        </is>
      </c>
      <c r="B138" s="10" t="inlineStr">
        <is>
          <t>Kiểm tra node ngay (Check now)</t>
        </is>
      </c>
      <c r="C138" s="10" t="inlineStr">
        <is>
          <t>Luồng chính</t>
        </is>
      </c>
      <c r="D138" s="10" t="inlineStr">
        <is>
          <t>B2</t>
        </is>
      </c>
      <c r="E138" s="10" t="inlineStr">
        <is>
          <t>Gateway kiểm tra vai trò OPERATOR+ và rate limit (5/phút/user, 1/30 giây/node).</t>
        </is>
      </c>
    </row>
    <row r="139">
      <c r="A139" s="10" t="inlineStr">
        <is>
          <t>UC-MON-02</t>
        </is>
      </c>
      <c r="B139" s="10" t="inlineStr">
        <is>
          <t>Kiểm tra node ngay (Check now)</t>
        </is>
      </c>
      <c r="C139" s="10" t="inlineStr">
        <is>
          <t>Luồng chính</t>
        </is>
      </c>
      <c r="D139" s="10" t="inlineStr">
        <is>
          <t>B3</t>
        </is>
      </c>
      <c r="E139" s="10" t="inlineStr">
        <is>
          <t>Monitoring phát `CheckNodeV1` với `reason = Manual`, `requestedBy = userId`, trả `202 Accepted` + `checkId`.</t>
        </is>
      </c>
    </row>
    <row r="140">
      <c r="A140" s="10" t="inlineStr">
        <is>
          <t>UC-MON-02</t>
        </is>
      </c>
      <c r="B140" s="10" t="inlineStr">
        <is>
          <t>Kiểm tra node ngay (Check now)</t>
        </is>
      </c>
      <c r="C140" s="10" t="inlineStr">
        <is>
          <t>Luồng chính</t>
        </is>
      </c>
      <c r="D140" s="10" t="inlineStr">
        <is>
          <t>B4</t>
        </is>
      </c>
      <c r="E140" s="10" t="inlineStr">
        <is>
          <t>Frontend hiện trạng thái “Đang kiểm tra…”, khóa nút 30 giây.</t>
        </is>
      </c>
    </row>
    <row r="141">
      <c r="A141" s="10" t="inlineStr">
        <is>
          <t>UC-MON-02</t>
        </is>
      </c>
      <c r="B141" s="10" t="inlineStr">
        <is>
          <t>Kiểm tra node ngay (Check now)</t>
        </is>
      </c>
      <c r="C141" s="10" t="inlineStr">
        <is>
          <t>Luồng chính</t>
        </is>
      </c>
      <c r="D141" s="10" t="inlineStr">
        <is>
          <t>B5</t>
        </is>
      </c>
      <c r="E141" s="10" t="inlineStr">
        <is>
          <t>Worker xử lý như UC-MON-01 bước 6–11.</t>
        </is>
      </c>
    </row>
    <row r="142">
      <c r="A142" s="10" t="inlineStr">
        <is>
          <t>UC-MON-02</t>
        </is>
      </c>
      <c r="B142" s="10" t="inlineStr">
        <is>
          <t>Kiểm tra node ngay (Check now)</t>
        </is>
      </c>
      <c r="C142" s="10" t="inlineStr">
        <is>
          <t>Luồng chính</t>
        </is>
      </c>
      <c r="D142" s="10" t="inlineStr">
        <is>
          <t>B6</t>
        </is>
      </c>
      <c r="E142" s="10" t="inlineStr">
        <is>
          <t>Realtime đẩy `CheckCompleted` (kèm `checkId`, kết quả, thời lượng) và `MetricCollected`.</t>
        </is>
      </c>
    </row>
    <row r="143">
      <c r="A143" s="10" t="inlineStr">
        <is>
          <t>UC-MON-02</t>
        </is>
      </c>
      <c r="B143" s="10" t="inlineStr">
        <is>
          <t>Kiểm tra node ngay (Check now)</t>
        </is>
      </c>
      <c r="C143" s="10" t="inlineStr">
        <is>
          <t>Luồng chính</t>
        </is>
      </c>
      <c r="D143" s="10" t="inlineStr">
        <is>
          <t>B7</t>
        </is>
      </c>
      <c r="E143" s="10" t="inlineStr">
        <is>
          <t>Frontend cập nhật chỉ số, mở khóa nút, hiện toast “Đã cập nhật chỉ số của {node}” hoặc thông báo lỗi.</t>
        </is>
      </c>
    </row>
    <row r="144">
      <c r="A144" s="10" t="inlineStr">
        <is>
          <t>UC-MON-02</t>
        </is>
      </c>
      <c r="B144" s="10" t="inlineStr">
        <is>
          <t>Kiểm tra node ngay (Check now)</t>
        </is>
      </c>
      <c r="C144" s="10" t="inlineStr">
        <is>
          <t>Luồng thay thế</t>
        </is>
      </c>
      <c r="D144" s="10" t="inlineStr">
        <is>
          <t>A1</t>
        </is>
      </c>
      <c r="E144" s="10" t="inlineStr">
        <is>
          <t>Không nhận được kết quả trong 60 giây: frontend dừng trạng thái chờ và gợi ý xem tab “Lần quét gần đây”.</t>
        </is>
      </c>
    </row>
    <row r="145">
      <c r="A145" s="10" t="inlineStr">
        <is>
          <t>UC-MON-02</t>
        </is>
      </c>
      <c r="B145" s="10" t="inlineStr">
        <is>
          <t>Kiểm tra node ngay (Check now)</t>
        </is>
      </c>
      <c r="C145" s="10" t="inlineStr">
        <is>
          <t>Luồng ngoại lệ</t>
        </is>
      </c>
      <c r="D145" s="10" t="inlineStr">
        <is>
          <t>E1</t>
        </is>
      </c>
      <c r="E145" s="10" t="inlineStr">
        <is>
          <t>Node đang tắt giám sát: `409 SOE-MON-409` “Node đang tắt giám sát.”</t>
        </is>
      </c>
    </row>
    <row r="146">
      <c r="A146" s="10" t="inlineStr">
        <is>
          <t>UC-MON-02</t>
        </is>
      </c>
      <c r="B146" s="10" t="inlineStr">
        <is>
          <t>Kiểm tra node ngay (Check now)</t>
        </is>
      </c>
      <c r="C146" s="10" t="inlineStr">
        <is>
          <t>Luồng ngoại lệ</t>
        </is>
      </c>
      <c r="D146" s="10" t="inlineStr">
        <is>
          <t>E2</t>
        </is>
      </c>
      <c r="E146" s="10" t="inlineStr">
        <is>
          <t>Gọi quá nhanh: `429`, frontend hiện “Vui lòng đợi {n} giây.”</t>
        </is>
      </c>
    </row>
    <row r="147">
      <c r="A147" s="10" t="inlineStr">
        <is>
          <t>UC-MON-02</t>
        </is>
      </c>
      <c r="B147" s="10" t="inlineStr">
        <is>
          <t>Kiểm tra node ngay (Check now)</t>
        </is>
      </c>
      <c r="C147" s="10" t="inlineStr">
        <is>
          <t>Luồng ngoại lệ</t>
        </is>
      </c>
      <c r="D147" s="10" t="inlineStr">
        <is>
          <t>E3</t>
        </is>
      </c>
      <c r="E147" s="10" t="inlineStr">
        <is>
          <t>VIEWER gọi API: `403`.</t>
        </is>
      </c>
    </row>
    <row r="148">
      <c r="A148" s="10" t="inlineStr">
        <is>
          <t>UC-MON-02</t>
        </is>
      </c>
      <c r="B148" s="10" t="inlineStr">
        <is>
          <t>Kiểm tra node ngay (Check now)</t>
        </is>
      </c>
      <c r="C148" s="10" t="inlineStr">
        <is>
          <t>Luồng ngoại lệ</t>
        </is>
      </c>
      <c r="D148" s="10" t="inlineStr">
        <is>
          <t>E4</t>
        </is>
      </c>
      <c r="E148" s="10" t="inlineStr">
        <is>
          <t>Node không tồn tại: `404`.</t>
        </is>
      </c>
    </row>
    <row r="149">
      <c r="A149" s="10" t="inlineStr">
        <is>
          <t>UC-MON-03</t>
        </is>
      </c>
      <c r="B149" s="10" t="inlineStr">
        <is>
          <t>Xử lý node không truy cập được</t>
        </is>
      </c>
      <c r="C149" s="10" t="inlineStr">
        <is>
          <t>Luồng chính</t>
        </is>
      </c>
      <c r="D149" s="10" t="inlineStr">
        <is>
          <t>B1</t>
        </is>
      </c>
      <c r="E149" s="10" t="inlineStr">
        <is>
          <t>Worker thử kết nối; gặp lỗi (timeout, từ chối, xác thực sai).</t>
        </is>
      </c>
    </row>
    <row r="150">
      <c r="A150" s="10" t="inlineStr">
        <is>
          <t>UC-MON-03</t>
        </is>
      </c>
      <c r="B150" s="10" t="inlineStr">
        <is>
          <t>Xử lý node không truy cập được</t>
        </is>
      </c>
      <c r="C150" s="10" t="inlineStr">
        <is>
          <t>Luồng chính</t>
        </is>
      </c>
      <c r="D150" s="10" t="inlineStr">
        <is>
          <t>B2</t>
        </is>
      </c>
      <c r="E150" s="10" t="inlineStr">
        <is>
          <t>Worker retry tối đa 2 lần trong cùng message với backoff ngắn.</t>
        </is>
      </c>
    </row>
    <row r="151">
      <c r="A151" s="10" t="inlineStr">
        <is>
          <t>UC-MON-03</t>
        </is>
      </c>
      <c r="B151" s="10" t="inlineStr">
        <is>
          <t>Xử lý node không truy cập được</t>
        </is>
      </c>
      <c r="C151" s="10" t="inlineStr">
        <is>
          <t>Luồng chính</t>
        </is>
      </c>
      <c r="D151" s="10" t="inlineStr">
        <is>
          <t>B3</t>
        </is>
      </c>
      <c r="E151" s="10" t="inlineStr">
        <is>
          <t>Vẫn thất bại ⇒ phân loại `failureKind` (`ConnectTimeout`, `AuthFailed`, `HostKeyMismatch`, `CommandTimeout`, `Unknown`).</t>
        </is>
      </c>
    </row>
    <row r="152">
      <c r="A152" s="10" t="inlineStr">
        <is>
          <t>UC-MON-03</t>
        </is>
      </c>
      <c r="B152" s="10" t="inlineStr">
        <is>
          <t>Xử lý node không truy cập được</t>
        </is>
      </c>
      <c r="C152" s="10" t="inlineStr">
        <is>
          <t>Luồng chính</t>
        </is>
      </c>
      <c r="D152" s="10" t="inlineStr">
        <is>
          <t>B4</t>
        </is>
      </c>
      <c r="E152" s="10" t="inlineStr">
        <is>
          <t>Worker ghi `CheckRuns` (`outcome = Failed`) và phát `NodeUnreachableV1` với thông điệp đã lọc sạch credential.</t>
        </is>
      </c>
    </row>
    <row r="153">
      <c r="A153" s="10" t="inlineStr">
        <is>
          <t>UC-MON-03</t>
        </is>
      </c>
      <c r="B153" s="10" t="inlineStr">
        <is>
          <t>Xử lý node không truy cập được</t>
        </is>
      </c>
      <c r="C153" s="10" t="inlineStr">
        <is>
          <t>Luồng chính</t>
        </is>
      </c>
      <c r="D153" s="10" t="inlineStr">
        <is>
          <t>B5</t>
        </is>
      </c>
      <c r="E153" s="10" t="inlineStr">
        <is>
          <t>Incident mở sự cố tương ứng (`NODE_UNREACHABLE`, `AUTH_FAILED`, `HOST_KEY_MISMATCH`) mức CRITICAL ngay lần đầu.</t>
        </is>
      </c>
    </row>
    <row r="154">
      <c r="A154" s="10" t="inlineStr">
        <is>
          <t>UC-MON-03</t>
        </is>
      </c>
      <c r="B154" s="10" t="inlineStr">
        <is>
          <t>Xử lý node không truy cập được</t>
        </is>
      </c>
      <c r="C154" s="10" t="inlineStr">
        <is>
          <t>Luồng chính</t>
        </is>
      </c>
      <c r="D154" s="10" t="inlineStr">
        <is>
          <t>B6</t>
        </is>
      </c>
      <c r="E154" s="10" t="inlineStr">
        <is>
          <t>Notification gửi cảnh báo tới các kênh phù hợp; Realtime đẩy `NodeStatusChanged`; Metrics đặt `status = UNREACHABLE`.</t>
        </is>
      </c>
    </row>
    <row r="155">
      <c r="A155" s="10" t="inlineStr">
        <is>
          <t>UC-MON-03</t>
        </is>
      </c>
      <c r="B155" s="10" t="inlineStr">
        <is>
          <t>Xử lý node không truy cập được</t>
        </is>
      </c>
      <c r="C155" s="10" t="inlineStr">
        <is>
          <t>Luồng chính</t>
        </is>
      </c>
      <c r="D155" s="10" t="inlineStr">
        <is>
          <t>B7</t>
        </is>
      </c>
      <c r="E155" s="10" t="inlineStr">
        <is>
          <t>Kỹ sư vận hành nhận cảnh báo, kiểm tra máy chủ.</t>
        </is>
      </c>
    </row>
    <row r="156">
      <c r="A156" s="10" t="inlineStr">
        <is>
          <t>UC-MON-03</t>
        </is>
      </c>
      <c r="B156" s="10" t="inlineStr">
        <is>
          <t>Xử lý node không truy cập được</t>
        </is>
      </c>
      <c r="C156" s="10" t="inlineStr">
        <is>
          <t>Luồng chính</t>
        </is>
      </c>
      <c r="D156" s="10" t="inlineStr">
        <is>
          <t>B8</t>
        </is>
      </c>
      <c r="E156" s="10" t="inlineStr">
        <is>
          <t>Khi máy chủ hoạt động trở lại, lần quét kế tiếp thành công ⇒ Incident tự đóng sự cố (UC-INC-04), Realtime cập nhật trạng thái.</t>
        </is>
      </c>
    </row>
    <row r="157">
      <c r="A157" s="10" t="inlineStr">
        <is>
          <t>UC-MON-03</t>
        </is>
      </c>
      <c r="B157" s="10" t="inlineStr">
        <is>
          <t>Xử lý node không truy cập được</t>
        </is>
      </c>
      <c r="C157" s="10" t="inlineStr">
        <is>
          <t>Luồng thay thế</t>
        </is>
      </c>
      <c r="D157" s="10" t="inlineStr">
        <is>
          <t>A1</t>
        </is>
      </c>
      <c r="E157" s="10" t="inlineStr">
        <is>
          <t>Sai xác thực do đổi mật khẩu trên máy chủ: ADMIN cập nhật credential (UC-INV-02/A1); sự cố đóng khi quét thành công.</t>
        </is>
      </c>
    </row>
    <row r="158">
      <c r="A158" s="10" t="inlineStr">
        <is>
          <t>UC-MON-03</t>
        </is>
      </c>
      <c r="B158" s="10" t="inlineStr">
        <is>
          <t>Xử lý node không truy cập được</t>
        </is>
      </c>
      <c r="C158" s="10" t="inlineStr">
        <is>
          <t>Luồng thay thế</t>
        </is>
      </c>
      <c r="D158" s="10" t="inlineStr">
        <is>
          <t>A2</t>
        </is>
      </c>
      <c r="E158" s="10" t="inlineStr">
        <is>
          <t>Máy chủ ngừng vĩnh viễn: ADMIN tắt giám sát hoặc xóa node; sự cố được đóng theo BR-INV-005.</t>
        </is>
      </c>
    </row>
    <row r="159">
      <c r="A159" s="10" t="inlineStr">
        <is>
          <t>UC-MON-03</t>
        </is>
      </c>
      <c r="B159" s="10" t="inlineStr">
        <is>
          <t>Xử lý node không truy cập được</t>
        </is>
      </c>
      <c r="C159" s="10" t="inlineStr">
        <is>
          <t>Luồng ngoại lệ</t>
        </is>
      </c>
      <c r="D159" s="10" t="inlineStr">
        <is>
          <t>E1</t>
        </is>
      </c>
      <c r="E159" s="10" t="inlineStr">
        <is>
          <t>Toàn bộ node cùng lỗi (mất mạng/firewall): số sự cố tăng đột biến → Notification gom thành thông báo digest (FR-NTF-020) và cảnh báo vận hành `SoeScanCoverageLow`.</t>
        </is>
      </c>
    </row>
    <row r="160">
      <c r="A160" s="10" t="inlineStr">
        <is>
          <t>UC-MON-03</t>
        </is>
      </c>
      <c r="B160" s="10" t="inlineStr">
        <is>
          <t>Xử lý node không truy cập được</t>
        </is>
      </c>
      <c r="C160" s="10" t="inlineStr">
        <is>
          <t>Luồng ngoại lệ</t>
        </is>
      </c>
      <c r="D160" s="10" t="inlineStr">
        <is>
          <t>E2</t>
        </is>
      </c>
      <c r="E160" s="10" t="inlineStr">
        <is>
          <t>Lỗi chập chờn: nhờ hysteresis và auto-resolve, sự cố `NODE_UNREACHABLE` đóng ngay khi quét lại thành công, tránh nhiễu.</t>
        </is>
      </c>
    </row>
    <row r="161">
      <c r="A161" s="10" t="inlineStr">
        <is>
          <t>UC-MET-01</t>
        </is>
      </c>
      <c r="B161" s="10" t="inlineStr">
        <is>
          <t>Xem dashboard tổng quan</t>
        </is>
      </c>
      <c r="C161" s="10" t="inlineStr">
        <is>
          <t>Luồng chính</t>
        </is>
      </c>
      <c r="D161" s="10" t="inlineStr">
        <is>
          <t>B1</t>
        </is>
      </c>
      <c r="E161" s="10" t="inlineStr">
        <is>
          <t>Frontend tải song song: `GET /metrics/health-summary`, `GET /metrics/latest`, `GET /incidents?status=OPEN&amp;pageSize=5`, `GET /monitoring/status` (tối đa 6 request — NFR-PERF).</t>
        </is>
      </c>
    </row>
    <row r="162">
      <c r="A162" s="10" t="inlineStr">
        <is>
          <t>UC-MET-01</t>
        </is>
      </c>
      <c r="B162" s="10" t="inlineStr">
        <is>
          <t>Xem dashboard tổng quan</t>
        </is>
      </c>
      <c r="C162" s="10" t="inlineStr">
        <is>
          <t>Luồng chính</t>
        </is>
      </c>
      <c r="D162" s="10" t="inlineStr">
        <is>
          <t>B2</t>
        </is>
      </c>
      <c r="E162" s="10" t="inlineStr">
        <is>
          <t>Trong lúc chờ, hiển thị skeleton giữ đúng bố cục (tránh CLS).</t>
        </is>
      </c>
    </row>
    <row r="163">
      <c r="A163" s="10" t="inlineStr">
        <is>
          <t>UC-MET-01</t>
        </is>
      </c>
      <c r="B163" s="10" t="inlineStr">
        <is>
          <t>Xem dashboard tổng quan</t>
        </is>
      </c>
      <c r="C163" s="10" t="inlineStr">
        <is>
          <t>Luồng chính</t>
        </is>
      </c>
      <c r="D163" s="10" t="inlineStr">
        <is>
          <t>B3</t>
        </is>
      </c>
      <c r="E163" s="10" t="inlineStr">
        <is>
          <t>Hệ thống hiển thị:</t>
        </is>
      </c>
    </row>
    <row r="164">
      <c r="A164" s="10" t="inlineStr">
        <is>
          <t>UC-MET-01</t>
        </is>
      </c>
      <c r="B164" s="10" t="inlineStr">
        <is>
          <t>Xem dashboard tổng quan</t>
        </is>
      </c>
      <c r="C164" s="10" t="inlineStr">
        <is>
          <t>Luồng chính</t>
        </is>
      </c>
      <c r="D164" s="10" t="inlineStr">
        <is>
          <t>B4</t>
        </is>
      </c>
      <c r="E164" s="10" t="inlineStr">
        <is>
          <t>Frontend mở kết nối SignalR, tham gia nhóm `all-nodes`.</t>
        </is>
      </c>
    </row>
    <row r="165">
      <c r="A165" s="10" t="inlineStr">
        <is>
          <t>UC-MET-01</t>
        </is>
      </c>
      <c r="B165" s="10" t="inlineStr">
        <is>
          <t>Xem dashboard tổng quan</t>
        </is>
      </c>
      <c r="C165" s="10" t="inlineStr">
        <is>
          <t>Luồng chính</t>
        </is>
      </c>
      <c r="D165" s="10" t="inlineStr">
        <is>
          <t>B5</t>
        </is>
      </c>
      <c r="E165" s="10" t="inlineStr">
        <is>
          <t>Mỗi khi có `MetricCollected`, cập nhật trực tiếp cache (không gọi lại API); có `IncidentOpened` thì cập nhật bộ đếm và danh sách, hiện toast.</t>
        </is>
      </c>
    </row>
    <row r="166">
      <c r="A166" s="10" t="inlineStr">
        <is>
          <t>UC-MET-01</t>
        </is>
      </c>
      <c r="B166" s="10" t="inlineStr">
        <is>
          <t>Xem dashboard tổng quan</t>
        </is>
      </c>
      <c r="C166" s="10" t="inlineStr">
        <is>
          <t>Luồng thay thế</t>
        </is>
      </c>
      <c r="D166" s="10" t="inlineStr">
        <is>
          <t>A1</t>
        </is>
      </c>
      <c r="E166" s="10" t="inlineStr">
        <is>
          <t>Mất kết nối realtime: hiện chỉ báo “Đang kết nối lại”; sau 30 giây chuyển sang polling 30 giây (BR-RTM-003).</t>
        </is>
      </c>
    </row>
    <row r="167">
      <c r="A167" s="10" t="inlineStr">
        <is>
          <t>UC-MET-01</t>
        </is>
      </c>
      <c r="B167" s="10" t="inlineStr">
        <is>
          <t>Xem dashboard tổng quan</t>
        </is>
      </c>
      <c r="C167" s="10" t="inlineStr">
        <is>
          <t>Luồng thay thế</t>
        </is>
      </c>
      <c r="D167" s="10" t="inlineStr">
        <is>
          <t>A2</t>
        </is>
      </c>
      <c r="E167" s="10" t="inlineStr">
        <is>
          <t>Dữ liệu cũ: node có `isStale = true` hiển thị nhãn “Dữ liệu cũ · {thời điểm}”.</t>
        </is>
      </c>
    </row>
    <row r="168">
      <c r="A168" s="10" t="inlineStr">
        <is>
          <t>UC-MET-01</t>
        </is>
      </c>
      <c r="B168" s="10" t="inlineStr">
        <is>
          <t>Xem dashboard tổng quan</t>
        </is>
      </c>
      <c r="C168" s="10" t="inlineStr">
        <is>
          <t>Luồng thay thế</t>
        </is>
      </c>
      <c r="D168" s="10" t="inlineStr">
        <is>
          <t>A3</t>
        </is>
      </c>
      <c r="E168" s="10" t="inlineStr">
        <is>
          <t>Chưa có node nào: hiển thị trạng thái rỗng kèm hướng dẫn “Thêm máy chủ đầu tiên” (nút chỉ hiện với ADMIN).</t>
        </is>
      </c>
    </row>
    <row r="169">
      <c r="A169" s="10" t="inlineStr">
        <is>
          <t>UC-MET-01</t>
        </is>
      </c>
      <c r="B169" s="10" t="inlineStr">
        <is>
          <t>Xem dashboard tổng quan</t>
        </is>
      </c>
      <c r="C169" s="10" t="inlineStr">
        <is>
          <t>Luồng thay thế</t>
        </is>
      </c>
      <c r="D169" s="10" t="inlineStr">
        <is>
          <t>A4</t>
        </is>
      </c>
      <c r="E169" s="10" t="inlineStr">
        <is>
          <t>Tab bị ẩn &gt; 5 phút: tạm dừng cập nhật biểu đồ; khi quay lại thì đồng bộ bằng một lần gọi API.</t>
        </is>
      </c>
    </row>
    <row r="170">
      <c r="A170" s="10" t="inlineStr">
        <is>
          <t>UC-MET-01</t>
        </is>
      </c>
      <c r="B170" s="10" t="inlineStr">
        <is>
          <t>Xem dashboard tổng quan</t>
        </is>
      </c>
      <c r="C170" s="10" t="inlineStr">
        <is>
          <t>Luồng ngoại lệ</t>
        </is>
      </c>
      <c r="D170" s="10" t="inlineStr">
        <is>
          <t>E1</t>
        </is>
      </c>
      <c r="E170" s="10" t="inlineStr">
        <is>
          <t>API lỗi 5xx: hiển thị khối lỗi kèm nút “Thử lại”; các khối khác vẫn hiển thị bình thường.</t>
        </is>
      </c>
    </row>
    <row r="171">
      <c r="A171" s="10" t="inlineStr">
        <is>
          <t>UC-MET-01</t>
        </is>
      </c>
      <c r="B171" s="10" t="inlineStr">
        <is>
          <t>Xem dashboard tổng quan</t>
        </is>
      </c>
      <c r="C171" s="10" t="inlineStr">
        <is>
          <t>Luồng ngoại lệ</t>
        </is>
      </c>
      <c r="D171" s="10" t="inlineStr">
        <is>
          <t>E2</t>
        </is>
      </c>
      <c r="E171" s="10" t="inlineStr">
        <is>
          <t>Token hết hạn: tự refresh (UC-IDN-02); người dùng không bị gián đoạn.</t>
        </is>
      </c>
    </row>
    <row r="172">
      <c r="A172" s="10" t="inlineStr">
        <is>
          <t>UC-MET-01</t>
        </is>
      </c>
      <c r="B172" s="10" t="inlineStr">
        <is>
          <t>Xem dashboard tổng quan</t>
        </is>
      </c>
      <c r="C172" s="10" t="inlineStr">
        <is>
          <t>Luồng ngoại lệ</t>
        </is>
      </c>
      <c r="D172" s="10" t="inlineStr">
        <is>
          <t>E3</t>
        </is>
      </c>
      <c r="E172" s="10" t="inlineStr">
        <is>
          <t>Hệ thống đang bảo trì: hiện thông báo bảo trì, chỉ cho phép xem.</t>
        </is>
      </c>
    </row>
    <row r="173">
      <c r="A173" s="10" t="inlineStr">
        <is>
          <t>UC-MET-02</t>
        </is>
      </c>
      <c r="B173" s="10" t="inlineStr">
        <is>
          <t>Xem lịch sử chỉ số một node</t>
        </is>
      </c>
      <c r="C173" s="10" t="inlineStr">
        <is>
          <t>Luồng chính</t>
        </is>
      </c>
      <c r="D173" s="10" t="inlineStr">
        <is>
          <t>B1</t>
        </is>
      </c>
      <c r="E173" s="10" t="inlineStr">
        <is>
          <t>Frontend gọi `GET /nodes/{id}`, `GET /nodes/{id}/metrics?range=24h`, `GET /nodes/{id}/metrics/summary`, `GET /incidents?nodeId={id}`.</t>
        </is>
      </c>
    </row>
    <row r="174">
      <c r="A174" s="10" t="inlineStr">
        <is>
          <t>UC-MET-02</t>
        </is>
      </c>
      <c r="B174" s="10" t="inlineStr">
        <is>
          <t>Xem lịch sử chỉ số một node</t>
        </is>
      </c>
      <c r="C174" s="10" t="inlineStr">
        <is>
          <t>Luồng chính</t>
        </is>
      </c>
      <c r="D174" s="10" t="inlineStr">
        <is>
          <t>B2</t>
        </is>
      </c>
      <c r="E174" s="10" t="inlineStr">
        <is>
          <t>Hệ thống hiển thị: thông tin node, chỉ số hiện tại, biểu đồ đường CPU/RAM/Disk 24 giờ có đường ngưỡng cảnh báo/nguy cấp, tóm tắt (trung bình/đỉnh 24h, xu hướng đĩa, dự báo đầy đĩa), danh sách sự cố của node, bảng các lần quét gần đây.</t>
        </is>
      </c>
    </row>
    <row r="175">
      <c r="A175" s="10" t="inlineStr">
        <is>
          <t>UC-MET-02</t>
        </is>
      </c>
      <c r="B175" s="10" t="inlineStr">
        <is>
          <t>Xem lịch sử chỉ số một node</t>
        </is>
      </c>
      <c r="C175" s="10" t="inlineStr">
        <is>
          <t>Luồng chính</t>
        </is>
      </c>
      <c r="D175" s="10" t="inlineStr">
        <is>
          <t>B3</t>
        </is>
      </c>
      <c r="E175" s="10" t="inlineStr">
        <is>
          <t>Người dùng đổi dải thời gian (1h / 24h / 7d / 30d); frontend gọi lại API với `range` tương ứng, giữ dữ liệu cũ làm nền (`keepPreviousData`).</t>
        </is>
      </c>
    </row>
    <row r="176">
      <c r="A176" s="10" t="inlineStr">
        <is>
          <t>UC-MET-02</t>
        </is>
      </c>
      <c r="B176" s="10" t="inlineStr">
        <is>
          <t>Xem lịch sử chỉ số một node</t>
        </is>
      </c>
      <c r="C176" s="10" t="inlineStr">
        <is>
          <t>Luồng chính</t>
        </is>
      </c>
      <c r="D176" s="10" t="inlineStr">
        <is>
          <t>B4</t>
        </is>
      </c>
      <c r="E176" s="10" t="inlineStr">
        <is>
          <t>Backend tự chọn nguồn: ≤ 24h dùng snapshot thô, &gt; 24h dùng rollup theo giờ; trả tối đa 500 điểm kèm `resolution`.</t>
        </is>
      </c>
    </row>
    <row r="177">
      <c r="A177" s="10" t="inlineStr">
        <is>
          <t>UC-MET-02</t>
        </is>
      </c>
      <c r="B177" s="10" t="inlineStr">
        <is>
          <t>Xem lịch sử chỉ số một node</t>
        </is>
      </c>
      <c r="C177" s="10" t="inlineStr">
        <is>
          <t>Luồng chính</t>
        </is>
      </c>
      <c r="D177" s="10" t="inlineStr">
        <is>
          <t>B5</t>
        </is>
      </c>
      <c r="E177" s="10" t="inlineStr">
        <is>
          <t>Frontend vẽ biểu đồ; tooltip hiển thị thời gian theo múi giờ người dùng và giá trị trung bình/đỉnh.</t>
        </is>
      </c>
    </row>
    <row r="178">
      <c r="A178" s="10" t="inlineStr">
        <is>
          <t>UC-MET-02</t>
        </is>
      </c>
      <c r="B178" s="10" t="inlineStr">
        <is>
          <t>Xem lịch sử chỉ số một node</t>
        </is>
      </c>
      <c r="C178" s="10" t="inlineStr">
        <is>
          <t>Luồng chính</t>
        </is>
      </c>
      <c r="D178" s="10" t="inlineStr">
        <is>
          <t>B6</t>
        </is>
      </c>
      <c r="E178" s="10" t="inlineStr">
        <is>
          <t>SignalR `SubscribeNode(nodeId)`: điểm dữ liệu mới được nối vào biểu đồ 1h theo thời gian thực.</t>
        </is>
      </c>
    </row>
    <row r="179">
      <c r="A179" s="10" t="inlineStr">
        <is>
          <t>UC-MET-02</t>
        </is>
      </c>
      <c r="B179" s="10" t="inlineStr">
        <is>
          <t>Xem lịch sử chỉ số một node</t>
        </is>
      </c>
      <c r="C179" s="10" t="inlineStr">
        <is>
          <t>Luồng thay thế</t>
        </is>
      </c>
      <c r="D179" s="10" t="inlineStr">
        <is>
          <t>A1</t>
        </is>
      </c>
      <c r="E179" s="10" t="inlineStr">
        <is>
          <t>Node chưa có dữ liệu: hiển thị trạng thái rỗng “Chưa có dữ liệu giám sát” + nút “Kiểm tra ngay” (OPERATOR+).</t>
        </is>
      </c>
    </row>
    <row r="180">
      <c r="A180" s="10" t="inlineStr">
        <is>
          <t>UC-MET-02</t>
        </is>
      </c>
      <c r="B180" s="10" t="inlineStr">
        <is>
          <t>Xem lịch sử chỉ số một node</t>
        </is>
      </c>
      <c r="C180" s="10" t="inlineStr">
        <is>
          <t>Luồng thay thế</t>
        </is>
      </c>
      <c r="D180" s="10" t="inlineStr">
        <is>
          <t>A2</t>
        </is>
      </c>
      <c r="E180" s="10" t="inlineStr">
        <is>
          <t>Khoảng tùy chỉnh: người dùng chọn `from`/`to`; hệ thống áp dụng giới hạn 90 ngày.</t>
        </is>
      </c>
    </row>
    <row r="181">
      <c r="A181" s="10" t="inlineStr">
        <is>
          <t>UC-MET-02</t>
        </is>
      </c>
      <c r="B181" s="10" t="inlineStr">
        <is>
          <t>Xem lịch sử chỉ số một node</t>
        </is>
      </c>
      <c r="C181" s="10" t="inlineStr">
        <is>
          <t>Luồng thay thế</t>
        </is>
      </c>
      <c r="D181" s="10" t="inlineStr">
        <is>
          <t>A3</t>
        </is>
      </c>
      <c r="E181" s="10" t="inlineStr">
        <is>
          <t>Một metric bị tắt giám sát: biểu đồ tương ứng hiển thị thông báo “Đang không giám sát {metric}”.</t>
        </is>
      </c>
    </row>
    <row r="182">
      <c r="A182" s="10" t="inlineStr">
        <is>
          <t>UC-MET-02</t>
        </is>
      </c>
      <c r="B182" s="10" t="inlineStr">
        <is>
          <t>Xem lịch sử chỉ số một node</t>
        </is>
      </c>
      <c r="C182" s="10" t="inlineStr">
        <is>
          <t>Luồng ngoại lệ</t>
        </is>
      </c>
      <c r="D182" s="10" t="inlineStr">
        <is>
          <t>E1</t>
        </is>
      </c>
      <c r="E182" s="10" t="inlineStr">
        <is>
          <t>Node không tồn tại/đã xóa: `404`; hiển thị “Không tìm thấy máy chủ” + nút quay lại danh sách.</t>
        </is>
      </c>
    </row>
    <row r="183">
      <c r="A183" s="10" t="inlineStr">
        <is>
          <t>UC-MET-02</t>
        </is>
      </c>
      <c r="B183" s="10" t="inlineStr">
        <is>
          <t>Xem lịch sử chỉ số một node</t>
        </is>
      </c>
      <c r="C183" s="10" t="inlineStr">
        <is>
          <t>Luồng ngoại lệ</t>
        </is>
      </c>
      <c r="D183" s="10" t="inlineStr">
        <is>
          <t>E2</t>
        </is>
      </c>
      <c r="E183" s="10" t="inlineStr">
        <is>
          <t>Dải thời gian quá lớn: `400 SOE-MET-400`; frontend chặn từ trước và giải thích giới hạn 90 ngày.</t>
        </is>
      </c>
    </row>
    <row r="184">
      <c r="A184" s="10" t="inlineStr">
        <is>
          <t>UC-MET-02</t>
        </is>
      </c>
      <c r="B184" s="10" t="inlineStr">
        <is>
          <t>Xem lịch sử chỉ số một node</t>
        </is>
      </c>
      <c r="C184" s="10" t="inlineStr">
        <is>
          <t>Luồng ngoại lệ</t>
        </is>
      </c>
      <c r="D184" s="10" t="inlineStr">
        <is>
          <t>E3</t>
        </is>
      </c>
      <c r="E184" s="10" t="inlineStr">
        <is>
          <t>Có điểm `null`: biểu đồ ngắt đường, tooltip ghi “Không thu được dữ liệu” (BR-MET-001).</t>
        </is>
      </c>
    </row>
    <row r="185">
      <c r="A185" s="10" t="inlineStr">
        <is>
          <t>UC-MET-02</t>
        </is>
      </c>
      <c r="B185" s="10" t="inlineStr">
        <is>
          <t>Xem lịch sử chỉ số một node</t>
        </is>
      </c>
      <c r="C185" s="10" t="inlineStr">
        <is>
          <t>Luồng ngoại lệ</t>
        </is>
      </c>
      <c r="D185" s="10" t="inlineStr">
        <is>
          <t>E4</t>
        </is>
      </c>
      <c r="E185" s="10" t="inlineStr">
        <is>
          <t>Rời trang khi đang tải: hủy request (AbortController), không cập nhật state.</t>
        </is>
      </c>
    </row>
    <row r="186">
      <c r="A186" s="10" t="inlineStr">
        <is>
          <t>UC-MET-03</t>
        </is>
      </c>
      <c r="B186" s="10" t="inlineStr">
        <is>
          <t>Xuất dữ liệu chỉ số</t>
        </is>
      </c>
      <c r="C186" s="10" t="inlineStr">
        <is>
          <t>Luồng chính</t>
        </is>
      </c>
      <c r="D186" s="10" t="inlineStr">
        <is>
          <t>B1</t>
        </is>
      </c>
      <c r="E186" s="10" t="inlineStr">
        <is>
          <t>Người dùng chọn khoảng thời gian và bấm “Xuất CSV”.</t>
        </is>
      </c>
    </row>
    <row r="187">
      <c r="A187" s="10" t="inlineStr">
        <is>
          <t>UC-MET-03</t>
        </is>
      </c>
      <c r="B187" s="10" t="inlineStr">
        <is>
          <t>Xuất dữ liệu chỉ số</t>
        </is>
      </c>
      <c r="C187" s="10" t="inlineStr">
        <is>
          <t>Luồng chính</t>
        </is>
      </c>
      <c r="D187" s="10" t="inlineStr">
        <is>
          <t>B2</t>
        </is>
      </c>
      <c r="E187" s="10" t="inlineStr">
        <is>
          <t>Hệ thống hiển thị hộp thoại xác nhận kèm số dòng ước tính.</t>
        </is>
      </c>
    </row>
    <row r="188">
      <c r="A188" s="10" t="inlineStr">
        <is>
          <t>UC-MET-03</t>
        </is>
      </c>
      <c r="B188" s="10" t="inlineStr">
        <is>
          <t>Xuất dữ liệu chỉ số</t>
        </is>
      </c>
      <c r="C188" s="10" t="inlineStr">
        <is>
          <t>Luồng chính</t>
        </is>
      </c>
      <c r="D188" s="10" t="inlineStr">
        <is>
          <t>B3</t>
        </is>
      </c>
      <c r="E188" s="10" t="inlineStr">
        <is>
          <t>Frontend gọi `GET /nodes/{id}/metrics/export?from=&amp;to=`.</t>
        </is>
      </c>
    </row>
    <row r="189">
      <c r="A189" s="10" t="inlineStr">
        <is>
          <t>UC-MET-03</t>
        </is>
      </c>
      <c r="B189" s="10" t="inlineStr">
        <is>
          <t>Xuất dữ liệu chỉ số</t>
        </is>
      </c>
      <c r="C189" s="10" t="inlineStr">
        <is>
          <t>Luồng chính</t>
        </is>
      </c>
      <c r="D189" s="10" t="inlineStr">
        <is>
          <t>B4</t>
        </is>
      </c>
      <c r="E189" s="10" t="inlineStr">
        <is>
          <t>Metrics xuất theo luồng (streaming) CSV với `Content-Disposition`, tối đa 100.000 dòng.</t>
        </is>
      </c>
    </row>
    <row r="190">
      <c r="A190" s="10" t="inlineStr">
        <is>
          <t>UC-MET-03</t>
        </is>
      </c>
      <c r="B190" s="10" t="inlineStr">
        <is>
          <t>Xuất dữ liệu chỉ số</t>
        </is>
      </c>
      <c r="C190" s="10" t="inlineStr">
        <is>
          <t>Luồng chính</t>
        </is>
      </c>
      <c r="D190" s="10" t="inlineStr">
        <is>
          <t>B5</t>
        </is>
      </c>
      <c r="E190" s="10" t="inlineStr">
        <is>
          <t>Trình duyệt tải tệp; Audit ghi `METRICS_EXPORTED`.</t>
        </is>
      </c>
    </row>
    <row r="191">
      <c r="A191" s="10" t="inlineStr">
        <is>
          <t>UC-MET-03</t>
        </is>
      </c>
      <c r="B191" s="10" t="inlineStr">
        <is>
          <t>Xuất dữ liệu chỉ số</t>
        </is>
      </c>
      <c r="C191" s="10" t="inlineStr">
        <is>
          <t>Luồng ngoại lệ</t>
        </is>
      </c>
      <c r="D191" s="10" t="inlineStr">
        <is>
          <t>E1</t>
        </is>
      </c>
      <c r="E191" s="10" t="inlineStr">
        <is>
          <t>Vượt giới hạn dòng: `400` kèm thông báo đề nghị thu hẹp khoảng thời gian.</t>
        </is>
      </c>
    </row>
    <row r="192">
      <c r="A192" s="10" t="inlineStr">
        <is>
          <t>UC-MET-03</t>
        </is>
      </c>
      <c r="B192" s="10" t="inlineStr">
        <is>
          <t>Xuất dữ liệu chỉ số</t>
        </is>
      </c>
      <c r="C192" s="10" t="inlineStr">
        <is>
          <t>Luồng ngoại lệ</t>
        </is>
      </c>
      <c r="D192" s="10" t="inlineStr">
        <is>
          <t>E2</t>
        </is>
      </c>
      <c r="E192" s="10" t="inlineStr">
        <is>
          <t>VIEWER thao tác: không thấy nút; gọi API nhận `403`.</t>
        </is>
      </c>
    </row>
    <row r="193">
      <c r="A193" s="10" t="inlineStr">
        <is>
          <t>UC-MET-03</t>
        </is>
      </c>
      <c r="B193" s="10" t="inlineStr">
        <is>
          <t>Xuất dữ liệu chỉ số</t>
        </is>
      </c>
      <c r="C193" s="10" t="inlineStr">
        <is>
          <t>Luồng ngoại lệ</t>
        </is>
      </c>
      <c r="D193" s="10" t="inlineStr">
        <is>
          <t>E3</t>
        </is>
      </c>
      <c r="E193" s="10" t="inlineStr">
        <is>
          <t>Kết nối gián đoạn khi tải: người dùng tải lại; hệ thống không giữ trạng thái dở dang.</t>
        </is>
      </c>
    </row>
    <row r="194">
      <c r="A194" s="10" t="inlineStr">
        <is>
          <t>UC-INC-01</t>
        </is>
      </c>
      <c r="B194" s="10" t="inlineStr">
        <is>
          <t>Phát hiện và mở sự cố</t>
        </is>
      </c>
      <c r="C194" s="10" t="inlineStr">
        <is>
          <t>Luồng chính</t>
        </is>
      </c>
      <c r="D194" s="10" t="inlineStr">
        <is>
          <t>B1</t>
        </is>
      </c>
      <c r="E194" s="10" t="inlineStr">
        <is>
          <t>Incident nhận `MetricCollectedV1`, bỏ qua nếu `collectedAt` cũ hơn `lastProcessedAt` của node/metric.</t>
        </is>
      </c>
    </row>
    <row r="195">
      <c r="A195" s="10" t="inlineStr">
        <is>
          <t>UC-INC-01</t>
        </is>
      </c>
      <c r="B195" s="10" t="inlineStr">
        <is>
          <t>Phát hiện và mở sự cố</t>
        </is>
      </c>
      <c r="C195" s="10" t="inlineStr">
        <is>
          <t>Luồng chính</t>
        </is>
      </c>
      <c r="D195" s="10" t="inlineStr">
        <is>
          <t>B2</t>
        </is>
      </c>
      <c r="E195" s="10" t="inlineStr">
        <is>
          <t>Xác định chính sách áp dụng: override theo node (nếu có) → chính sách toàn cục.</t>
        </is>
      </c>
    </row>
    <row r="196">
      <c r="A196" s="10" t="inlineStr">
        <is>
          <t>UC-INC-01</t>
        </is>
      </c>
      <c r="B196" s="10" t="inlineStr">
        <is>
          <t>Phát hiện và mở sự cố</t>
        </is>
      </c>
      <c r="C196" s="10" t="inlineStr">
        <is>
          <t>Luồng chính</t>
        </is>
      </c>
      <c r="D196" s="10" t="inlineStr">
        <is>
          <t>B3</t>
        </is>
      </c>
      <c r="E196" s="10" t="inlineStr">
        <is>
          <t>Với mỗi metric có giá trị khác `null`, xác định mức: `NORMAL` / `WARNING` / `CRITICAL`.</t>
        </is>
      </c>
    </row>
    <row r="197">
      <c r="A197" s="10" t="inlineStr">
        <is>
          <t>UC-INC-01</t>
        </is>
      </c>
      <c r="B197" s="10" t="inlineStr">
        <is>
          <t>Phát hiện và mở sự cố</t>
        </is>
      </c>
      <c r="C197" s="10" t="inlineStr">
        <is>
          <t>Luồng chính</t>
        </is>
      </c>
      <c r="D197" s="10" t="inlineStr">
        <is>
          <t>B4</t>
        </is>
      </c>
      <c r="E197" s="10" t="inlineStr">
        <is>
          <t>Mức khác `NORMAL` ⇒ tăng `breachStreak`, đặt `recoveryStreak = 0`.</t>
        </is>
      </c>
    </row>
    <row r="198">
      <c r="A198" s="10" t="inlineStr">
        <is>
          <t>UC-INC-01</t>
        </is>
      </c>
      <c r="B198" s="10" t="inlineStr">
        <is>
          <t>Phát hiện và mở sự cố</t>
        </is>
      </c>
      <c r="C198" s="10" t="inlineStr">
        <is>
          <t>Luồng chính</t>
        </is>
      </c>
      <c r="D198" s="10" t="inlineStr">
        <is>
          <t>B5</t>
        </is>
      </c>
      <c r="E198" s="10" t="inlineStr">
        <is>
          <t>Nếu đã có sự cố chưa đóng cùng `(nodeId, type)`: tăng `occurrenceCount`, cập nhật `lastSeenAt` và `metricValue` — không tạo bản ghi mới.</t>
        </is>
      </c>
    </row>
    <row r="199">
      <c r="A199" s="10" t="inlineStr">
        <is>
          <t>UC-INC-01</t>
        </is>
      </c>
      <c r="B199" s="10" t="inlineStr">
        <is>
          <t>Phát hiện và mở sự cố</t>
        </is>
      </c>
      <c r="C199" s="10" t="inlineStr">
        <is>
          <t>Luồng chính</t>
        </is>
      </c>
      <c r="D199" s="10" t="inlineStr">
        <is>
          <t>B6</t>
        </is>
      </c>
      <c r="E199" s="10" t="inlineStr">
        <is>
          <t>Nếu chưa có và `breachStreak ≥ consecutiveBreaches`: mở sự cố mới với mô tả tiếng Việt theo mẫu, phát `IncidentOpenedV1` qua outbox.</t>
        </is>
      </c>
    </row>
    <row r="200">
      <c r="A200" s="10" t="inlineStr">
        <is>
          <t>UC-INC-01</t>
        </is>
      </c>
      <c r="B200" s="10" t="inlineStr">
        <is>
          <t>Phát hiện và mở sự cố</t>
        </is>
      </c>
      <c r="C200" s="10" t="inlineStr">
        <is>
          <t>Luồng chính</t>
        </is>
      </c>
      <c r="D200" s="10" t="inlineStr">
        <is>
          <t>B7</t>
        </is>
      </c>
      <c r="E200" s="10" t="inlineStr">
        <is>
          <t>Notification chọn kênh theo severity và bộ lọc node, gửi cảnh báo (UC-NTF-01).</t>
        </is>
      </c>
    </row>
    <row r="201">
      <c r="A201" s="10" t="inlineStr">
        <is>
          <t>UC-INC-01</t>
        </is>
      </c>
      <c r="B201" s="10" t="inlineStr">
        <is>
          <t>Phát hiện và mở sự cố</t>
        </is>
      </c>
      <c r="C201" s="10" t="inlineStr">
        <is>
          <t>Luồng chính</t>
        </is>
      </c>
      <c r="D201" s="10" t="inlineStr">
        <is>
          <t>B8</t>
        </is>
      </c>
      <c r="E201" s="10" t="inlineStr">
        <is>
          <t>Realtime đẩy `IncidentOpened`; Audit ghi nhận; Dashboard cập nhật bộ đếm.</t>
        </is>
      </c>
    </row>
    <row r="202">
      <c r="A202" s="10" t="inlineStr">
        <is>
          <t>UC-INC-01</t>
        </is>
      </c>
      <c r="B202" s="10" t="inlineStr">
        <is>
          <t>Phát hiện và mở sự cố</t>
        </is>
      </c>
      <c r="C202" s="10" t="inlineStr">
        <is>
          <t>Luồng thay thế</t>
        </is>
      </c>
      <c r="D202" s="10" t="inlineStr">
        <is>
          <t>A1</t>
        </is>
      </c>
      <c r="E202" s="10" t="inlineStr">
        <is>
          <t>Nâng cấp mức độ: sự cố đang WARNING mà giá trị vượt ngưỡng CRITICAL ⇒ nâng severity, phát `IncidentEscalatedV1`, gửi cảnh báo lại (không bị throttle chặn).</t>
        </is>
      </c>
    </row>
    <row r="203">
      <c r="A203" s="10" t="inlineStr">
        <is>
          <t>UC-INC-01</t>
        </is>
      </c>
      <c r="B203" s="10" t="inlineStr">
        <is>
          <t>Phát hiện và mở sự cố</t>
        </is>
      </c>
      <c r="C203" s="10" t="inlineStr">
        <is>
          <t>Luồng thay thế</t>
        </is>
      </c>
      <c r="D203" s="10" t="inlineStr">
        <is>
          <t>A2</t>
        </is>
      </c>
      <c r="E203" s="10" t="inlineStr">
        <is>
          <t>Node không liên lạc được: nhận `NodeUnreachableV1` ⇒ mở sự cố ngay lần đầu, không cần chuỗi breach.</t>
        </is>
      </c>
    </row>
    <row r="204">
      <c r="A204" s="10" t="inlineStr">
        <is>
          <t>UC-INC-01</t>
        </is>
      </c>
      <c r="B204" s="10" t="inlineStr">
        <is>
          <t>Phát hiện và mở sự cố</t>
        </is>
      </c>
      <c r="C204" s="10" t="inlineStr">
        <is>
          <t>Luồng thay thế</t>
        </is>
      </c>
      <c r="D204" s="10" t="inlineStr">
        <is>
          <t>A3</t>
        </is>
      </c>
      <c r="E204" s="10" t="inlineStr">
        <is>
          <t>Metric bị tắt đánh giá: bỏ qua hoàn toàn.</t>
        </is>
      </c>
    </row>
    <row r="205">
      <c r="A205" s="10" t="inlineStr">
        <is>
          <t>UC-INC-01</t>
        </is>
      </c>
      <c r="B205" s="10" t="inlineStr">
        <is>
          <t>Phát hiện và mở sự cố</t>
        </is>
      </c>
      <c r="C205" s="10" t="inlineStr">
        <is>
          <t>Luồng thay thế</t>
        </is>
      </c>
      <c r="D205" s="10" t="inlineStr">
        <is>
          <t>A4</t>
        </is>
      </c>
      <c r="E205" s="10" t="inlineStr">
        <is>
          <t>Nhiều metric cùng vượt ngưỡng: mỗi loại một sự cố riêng (`CPU_HIGH`, `DISK_HIGH`…), gửi cảnh báo riêng.</t>
        </is>
      </c>
    </row>
    <row r="206">
      <c r="A206" s="10" t="inlineStr">
        <is>
          <t>UC-INC-01</t>
        </is>
      </c>
      <c r="B206" s="10" t="inlineStr">
        <is>
          <t>Phát hiện và mở sự cố</t>
        </is>
      </c>
      <c r="C206" s="10" t="inlineStr">
        <is>
          <t>Luồng ngoại lệ</t>
        </is>
      </c>
      <c r="D206" s="10" t="inlineStr">
        <is>
          <t>E1</t>
        </is>
      </c>
      <c r="E206" s="10" t="inlineStr">
        <is>
          <t>Message trùng lặp: inbox idempotency ⇒ không tăng `occurrenceCount` hai lần.</t>
        </is>
      </c>
    </row>
    <row r="207">
      <c r="A207" s="10" t="inlineStr">
        <is>
          <t>UC-INC-01</t>
        </is>
      </c>
      <c r="B207" s="10" t="inlineStr">
        <is>
          <t>Phát hiện và mở sự cố</t>
        </is>
      </c>
      <c r="C207" s="10" t="inlineStr">
        <is>
          <t>Luồng ngoại lệ</t>
        </is>
      </c>
      <c r="D207" s="10" t="inlineStr">
        <is>
          <t>E2</t>
        </is>
      </c>
      <c r="E207" s="10" t="inlineStr">
        <is>
          <t>Xung đột đồng thời hai snapshot cùng node: optimistic concurrency, retry; ràng buộc unique ở DB bảo đảm chỉ một sự cố mở.</t>
        </is>
      </c>
    </row>
    <row r="208">
      <c r="A208" s="10" t="inlineStr">
        <is>
          <t>UC-INC-01</t>
        </is>
      </c>
      <c r="B208" s="10" t="inlineStr">
        <is>
          <t>Phát hiện và mở sự cố</t>
        </is>
      </c>
      <c r="C208" s="10" t="inlineStr">
        <is>
          <t>Luồng ngoại lệ</t>
        </is>
      </c>
      <c r="D208" s="10" t="inlineStr">
        <is>
          <t>E3</t>
        </is>
      </c>
      <c r="E208" s="10" t="inlineStr">
        <is>
          <t>Giá trị vượt ngưỡng nhưng chưa đủ số lần liên tiếp: chỉ tăng `breachStreak`, chưa mở sự cố (chống nhiễu tức thời).</t>
        </is>
      </c>
    </row>
    <row r="209">
      <c r="A209" s="10" t="inlineStr">
        <is>
          <t>UC-INC-01</t>
        </is>
      </c>
      <c r="B209" s="10" t="inlineStr">
        <is>
          <t>Phát hiện và mở sự cố</t>
        </is>
      </c>
      <c r="C209" s="10" t="inlineStr">
        <is>
          <t>Luồng ngoại lệ</t>
        </is>
      </c>
      <c r="D209" s="10" t="inlineStr">
        <is>
          <t>E4</t>
        </is>
      </c>
      <c r="E209" s="10" t="inlineStr">
        <is>
          <t>Node vừa bị xóa: bỏ qua message, không mở sự cố.</t>
        </is>
      </c>
    </row>
    <row r="210">
      <c r="A210" s="10" t="inlineStr">
        <is>
          <t>UC-INC-02</t>
        </is>
      </c>
      <c r="B210" s="10" t="inlineStr">
        <is>
          <t>Xác nhận xử lý sự cố (Acknowledge)</t>
        </is>
      </c>
      <c r="C210" s="10" t="inlineStr">
        <is>
          <t>Luồng chính</t>
        </is>
      </c>
      <c r="D210" s="10" t="inlineStr">
        <is>
          <t>B1</t>
        </is>
      </c>
      <c r="E210" s="10" t="inlineStr">
        <is>
          <t>Hệ thống mở hộp thoại cho phép nhập ghi chú (≤ 500 ký tự, không bắt buộc).</t>
        </is>
      </c>
    </row>
    <row r="211">
      <c r="A211" s="10" t="inlineStr">
        <is>
          <t>UC-INC-02</t>
        </is>
      </c>
      <c r="B211" s="10" t="inlineStr">
        <is>
          <t>Xác nhận xử lý sự cố (Acknowledge)</t>
        </is>
      </c>
      <c r="C211" s="10" t="inlineStr">
        <is>
          <t>Luồng chính</t>
        </is>
      </c>
      <c r="D211" s="10" t="inlineStr">
        <is>
          <t>B2</t>
        </is>
      </c>
      <c r="E211" s="10" t="inlineStr">
        <is>
          <t>Người dùng xác nhận; frontend cập nhật optimistic và gọi `PUT /incidents/{id}/acknowledge`.</t>
        </is>
      </c>
    </row>
    <row r="212">
      <c r="A212" s="10" t="inlineStr">
        <is>
          <t>UC-INC-02</t>
        </is>
      </c>
      <c r="B212" s="10" t="inlineStr">
        <is>
          <t>Xác nhận xử lý sự cố (Acknowledge)</t>
        </is>
      </c>
      <c r="C212" s="10" t="inlineStr">
        <is>
          <t>Luồng chính</t>
        </is>
      </c>
      <c r="D212" s="10" t="inlineStr">
        <is>
          <t>B3</t>
        </is>
      </c>
      <c r="E212" s="10" t="inlineStr">
        <is>
          <t>Incident kiểm tra trạng thái `OPEN`, chuyển sang `ACKNOWLEDGED`, ghi `IncidentEvents`, phát `IncidentAcknowledgedV1`.</t>
        </is>
      </c>
    </row>
    <row r="213">
      <c r="A213" s="10" t="inlineStr">
        <is>
          <t>UC-INC-02</t>
        </is>
      </c>
      <c r="B213" s="10" t="inlineStr">
        <is>
          <t>Xác nhận xử lý sự cố (Acknowledge)</t>
        </is>
      </c>
      <c r="C213" s="10" t="inlineStr">
        <is>
          <t>Luồng chính</t>
        </is>
      </c>
      <c r="D213" s="10" t="inlineStr">
        <is>
          <t>B4</t>
        </is>
      </c>
      <c r="E213" s="10" t="inlineStr">
        <is>
          <t>Realtime đẩy cập nhật cho mọi người đang xem; Audit ghi `INCIDENT_ACKNOWLEDGED`.</t>
        </is>
      </c>
    </row>
    <row r="214">
      <c r="A214" s="10" t="inlineStr">
        <is>
          <t>UC-INC-02</t>
        </is>
      </c>
      <c r="B214" s="10" t="inlineStr">
        <is>
          <t>Xác nhận xử lý sự cố (Acknowledge)</t>
        </is>
      </c>
      <c r="C214" s="10" t="inlineStr">
        <is>
          <t>Luồng chính</t>
        </is>
      </c>
      <c r="D214" s="10" t="inlineStr">
        <is>
          <t>B5</t>
        </is>
      </c>
      <c r="E214" s="10" t="inlineStr">
        <is>
          <t>Frontend hiển thị trạng thái mới kèm tên người xác nhận và thời điểm.</t>
        </is>
      </c>
    </row>
    <row r="215">
      <c r="A215" s="10" t="inlineStr">
        <is>
          <t>UC-INC-02</t>
        </is>
      </c>
      <c r="B215" s="10" t="inlineStr">
        <is>
          <t>Xác nhận xử lý sự cố (Acknowledge)</t>
        </is>
      </c>
      <c r="C215" s="10" t="inlineStr">
        <is>
          <t>Luồng ngoại lệ</t>
        </is>
      </c>
      <c r="D215" s="10" t="inlineStr">
        <is>
          <t>E1</t>
        </is>
      </c>
      <c r="E215" s="10" t="inlineStr">
        <is>
          <t>Sự cố đã được người khác xác nhận/đóng: `409 SOE-INC-409`; frontend rollback optimistic và làm mới dữ liệu, hiện thông báo “Sự cố đã được {tên} xử lý.”</t>
        </is>
      </c>
    </row>
    <row r="216">
      <c r="A216" s="10" t="inlineStr">
        <is>
          <t>UC-INC-02</t>
        </is>
      </c>
      <c r="B216" s="10" t="inlineStr">
        <is>
          <t>Xác nhận xử lý sự cố (Acknowledge)</t>
        </is>
      </c>
      <c r="C216" s="10" t="inlineStr">
        <is>
          <t>Luồng ngoại lệ</t>
        </is>
      </c>
      <c r="D216" s="10" t="inlineStr">
        <is>
          <t>E2</t>
        </is>
      </c>
      <c r="E216" s="10" t="inlineStr">
        <is>
          <t>VIEWER thao tác: không thấy nút; gọi API nhận `403`.</t>
        </is>
      </c>
    </row>
    <row r="217">
      <c r="A217" s="10" t="inlineStr">
        <is>
          <t>UC-INC-02</t>
        </is>
      </c>
      <c r="B217" s="10" t="inlineStr">
        <is>
          <t>Xác nhận xử lý sự cố (Acknowledge)</t>
        </is>
      </c>
      <c r="C217" s="10" t="inlineStr">
        <is>
          <t>Luồng ngoại lệ</t>
        </is>
      </c>
      <c r="D217" s="10" t="inlineStr">
        <is>
          <t>E3</t>
        </is>
      </c>
      <c r="E217" s="10" t="inlineStr">
        <is>
          <t>Sự cố không tồn tại: `404`.</t>
        </is>
      </c>
    </row>
    <row r="218">
      <c r="A218" s="10" t="inlineStr">
        <is>
          <t>UC-INC-03</t>
        </is>
      </c>
      <c r="B218" s="10" t="inlineStr">
        <is>
          <t>Đóng sự cố (Resolve)</t>
        </is>
      </c>
      <c r="C218" s="10" t="inlineStr">
        <is>
          <t>Luồng chính</t>
        </is>
      </c>
      <c r="D218" s="10" t="inlineStr">
        <is>
          <t>B1</t>
        </is>
      </c>
      <c r="E218" s="10" t="inlineStr">
        <is>
          <t>Hệ thống mở hộp thoại yêu cầu mô tả hành động xử lý (bắt buộc, 3–1000 ký tự).</t>
        </is>
      </c>
    </row>
    <row r="219">
      <c r="A219" s="10" t="inlineStr">
        <is>
          <t>UC-INC-03</t>
        </is>
      </c>
      <c r="B219" s="10" t="inlineStr">
        <is>
          <t>Đóng sự cố (Resolve)</t>
        </is>
      </c>
      <c r="C219" s="10" t="inlineStr">
        <is>
          <t>Luồng chính</t>
        </is>
      </c>
      <c r="D219" s="10" t="inlineStr">
        <is>
          <t>B2</t>
        </is>
      </c>
      <c r="E219" s="10" t="inlineStr">
        <is>
          <t>Người dùng nhập nội dung và xác nhận; frontend validate rồi gọi `PUT /incidents/{id}/resolve`.</t>
        </is>
      </c>
    </row>
    <row r="220">
      <c r="A220" s="10" t="inlineStr">
        <is>
          <t>UC-INC-03</t>
        </is>
      </c>
      <c r="B220" s="10" t="inlineStr">
        <is>
          <t>Đóng sự cố (Resolve)</t>
        </is>
      </c>
      <c r="C220" s="10" t="inlineStr">
        <is>
          <t>Luồng chính</t>
        </is>
      </c>
      <c r="D220" s="10" t="inlineStr">
        <is>
          <t>B3</t>
        </is>
      </c>
      <c r="E220" s="10" t="inlineStr">
        <is>
          <t>Incident chuyển trạng thái `RESOLVED`, ghi `resolvedAt`, `resolvedBy`, `resolvedSource = USER`, `resolutionAction`; ghi `IncidentEvents`; phát `IncidentResolvedV1`.</t>
        </is>
      </c>
    </row>
    <row r="221">
      <c r="A221" s="10" t="inlineStr">
        <is>
          <t>UC-INC-03</t>
        </is>
      </c>
      <c r="B221" s="10" t="inlineStr">
        <is>
          <t>Đóng sự cố (Resolve)</t>
        </is>
      </c>
      <c r="C221" s="10" t="inlineStr">
        <is>
          <t>Luồng chính</t>
        </is>
      </c>
      <c r="D221" s="10" t="inlineStr">
        <is>
          <t>B4</t>
        </is>
      </c>
      <c r="E221" s="10" t="inlineStr">
        <is>
          <t>Notification gửi thông báo “đã đóng” tới các kênh bật tùy chọn này; Realtime cập nhật; Audit ghi `INCIDENT_RESOLVED`.</t>
        </is>
      </c>
    </row>
    <row r="222">
      <c r="A222" s="10" t="inlineStr">
        <is>
          <t>UC-INC-03</t>
        </is>
      </c>
      <c r="B222" s="10" t="inlineStr">
        <is>
          <t>Đóng sự cố (Resolve)</t>
        </is>
      </c>
      <c r="C222" s="10" t="inlineStr">
        <is>
          <t>Luồng chính</t>
        </is>
      </c>
      <c r="D222" s="10" t="inlineStr">
        <is>
          <t>B5</t>
        </is>
      </c>
      <c r="E222" s="10" t="inlineStr">
        <is>
          <t>Frontend chuyển sự cố sang nhóm đã xử lý, cập nhật bộ đếm trên Dashboard, hiện toast.</t>
        </is>
      </c>
    </row>
    <row r="223">
      <c r="A223" s="10" t="inlineStr">
        <is>
          <t>UC-INC-03</t>
        </is>
      </c>
      <c r="B223" s="10" t="inlineStr">
        <is>
          <t>Đóng sự cố (Resolve)</t>
        </is>
      </c>
      <c r="C223" s="10" t="inlineStr">
        <is>
          <t>Luồng thay thế</t>
        </is>
      </c>
      <c r="D223" s="10" t="inlineStr">
        <is>
          <t>A1</t>
        </is>
      </c>
      <c r="E223" s="10" t="inlineStr">
        <is>
          <t>Sự cố tái phát sau khi đóng: lần breach kế tiếp mở sự cố mới (lịch sử cũ được giữ nguyên để phân tích).</t>
        </is>
      </c>
    </row>
    <row r="224">
      <c r="A224" s="10" t="inlineStr">
        <is>
          <t>UC-INC-03</t>
        </is>
      </c>
      <c r="B224" s="10" t="inlineStr">
        <is>
          <t>Đóng sự cố (Resolve)</t>
        </is>
      </c>
      <c r="C224" s="10" t="inlineStr">
        <is>
          <t>Luồng thay thế</t>
        </is>
      </c>
      <c r="D224" s="10" t="inlineStr">
        <is>
          <t>A2</t>
        </is>
      </c>
      <c r="E224" s="10" t="inlineStr">
        <is>
          <t>Đóng hàng loạt: chọn nhiều sự cố và đóng cùng một lý do (Could).</t>
        </is>
      </c>
    </row>
    <row r="225">
      <c r="A225" s="10" t="inlineStr">
        <is>
          <t>UC-INC-03</t>
        </is>
      </c>
      <c r="B225" s="10" t="inlineStr">
        <is>
          <t>Đóng sự cố (Resolve)</t>
        </is>
      </c>
      <c r="C225" s="10" t="inlineStr">
        <is>
          <t>Luồng ngoại lệ</t>
        </is>
      </c>
      <c r="D225" s="10" t="inlineStr">
        <is>
          <t>E1</t>
        </is>
      </c>
      <c r="E225" s="10" t="inlineStr">
        <is>
          <t>Sự cố đã đóng: `409`; hiện thông báo và làm mới danh sách.</t>
        </is>
      </c>
    </row>
    <row r="226">
      <c r="A226" s="10" t="inlineStr">
        <is>
          <t>UC-INC-03</t>
        </is>
      </c>
      <c r="B226" s="10" t="inlineStr">
        <is>
          <t>Đóng sự cố (Resolve)</t>
        </is>
      </c>
      <c r="C226" s="10" t="inlineStr">
        <is>
          <t>Luồng ngoại lệ</t>
        </is>
      </c>
      <c r="D226" s="10" t="inlineStr">
        <is>
          <t>E2</t>
        </is>
      </c>
      <c r="E226" s="10" t="inlineStr">
        <is>
          <t>Thiếu nội dung xử lý: frontend chặn; nếu gọi thẳng API thì `400` với `errors.resolutionAction`.</t>
        </is>
      </c>
    </row>
    <row r="227">
      <c r="A227" s="10" t="inlineStr">
        <is>
          <t>UC-INC-03</t>
        </is>
      </c>
      <c r="B227" s="10" t="inlineStr">
        <is>
          <t>Đóng sự cố (Resolve)</t>
        </is>
      </c>
      <c r="C227" s="10" t="inlineStr">
        <is>
          <t>Luồng ngoại lệ</t>
        </is>
      </c>
      <c r="D227" s="10" t="inlineStr">
        <is>
          <t>E3</t>
        </is>
      </c>
      <c r="E227" s="10" t="inlineStr">
        <is>
          <t>Nguyên nhân chưa được khắc phục: chu kỳ quét kế tiếp mở sự cố mới → người dùng thấy sự cố quay lại (hành vi đúng theo thiết kế).</t>
        </is>
      </c>
    </row>
    <row r="228">
      <c r="A228" s="10" t="inlineStr">
        <is>
          <t>UC-INC-04</t>
        </is>
      </c>
      <c r="B228" s="10" t="inlineStr">
        <is>
          <t>Tự động đóng sự cố khi hồi phục</t>
        </is>
      </c>
      <c r="C228" s="10" t="inlineStr">
        <is>
          <t>Luồng chính</t>
        </is>
      </c>
      <c r="D228" s="10" t="inlineStr">
        <is>
          <t>B1</t>
        </is>
      </c>
      <c r="E228" s="10" t="inlineStr">
        <is>
          <t>Nhận `MetricCollectedV1` với giá trị &lt; `ngưỡng − recoveryMargin` (mặc định thấp hơn 5 điểm %).</t>
        </is>
      </c>
    </row>
    <row r="229">
      <c r="A229" s="10" t="inlineStr">
        <is>
          <t>UC-INC-04</t>
        </is>
      </c>
      <c r="B229" s="10" t="inlineStr">
        <is>
          <t>Tự động đóng sự cố khi hồi phục</t>
        </is>
      </c>
      <c r="C229" s="10" t="inlineStr">
        <is>
          <t>Luồng chính</t>
        </is>
      </c>
      <c r="D229" s="10" t="inlineStr">
        <is>
          <t>B2</t>
        </is>
      </c>
      <c r="E229" s="10" t="inlineStr">
        <is>
          <t>Tăng `recoveryStreak`, đặt `breachStreak = 0`.</t>
        </is>
      </c>
    </row>
    <row r="230">
      <c r="A230" s="10" t="inlineStr">
        <is>
          <t>UC-INC-04</t>
        </is>
      </c>
      <c r="B230" s="10" t="inlineStr">
        <is>
          <t>Tự động đóng sự cố khi hồi phục</t>
        </is>
      </c>
      <c r="C230" s="10" t="inlineStr">
        <is>
          <t>Luồng chính</t>
        </is>
      </c>
      <c r="D230" s="10" t="inlineStr">
        <is>
          <t>B3</t>
        </is>
      </c>
      <c r="E230" s="10" t="inlineStr">
        <is>
          <t>Khi `recoveryStreak ≥ consecutiveRecoveries` (mặc định 2) và tồn tại sự cố chưa đóng:</t>
        </is>
      </c>
    </row>
    <row r="231">
      <c r="A231" s="10" t="inlineStr">
        <is>
          <t>UC-INC-04</t>
        </is>
      </c>
      <c r="B231" s="10" t="inlineStr">
        <is>
          <t>Tự động đóng sự cố khi hồi phục</t>
        </is>
      </c>
      <c r="C231" s="10" t="inlineStr">
        <is>
          <t>Luồng chính</t>
        </is>
      </c>
      <c r="D231" s="10" t="inlineStr">
        <is>
          <t>B4</t>
        </is>
      </c>
      <c r="E231" s="10" t="inlineStr">
        <is>
          <t>Notification gửi thông báo hồi phục (nếu kênh bật); Realtime cập nhật; Audit ghi `INCIDENT_AUTO_RESOLVED`.</t>
        </is>
      </c>
    </row>
    <row r="232">
      <c r="A232" s="10" t="inlineStr">
        <is>
          <t>UC-INC-04</t>
        </is>
      </c>
      <c r="B232" s="10" t="inlineStr">
        <is>
          <t>Tự động đóng sự cố khi hồi phục</t>
        </is>
      </c>
      <c r="C232" s="10" t="inlineStr">
        <is>
          <t>Luồng thay thế</t>
        </is>
      </c>
      <c r="D232" s="10" t="inlineStr">
        <is>
          <t>A1</t>
        </is>
      </c>
      <c r="E232" s="10" t="inlineStr">
        <is>
          <t>Node liên lạc lại được: nhận `MetricCollectedV1` thành công ⇒ đóng ngay sự cố `NODE_UNREACHABLE` (không cần chuỗi hồi phục).</t>
        </is>
      </c>
    </row>
    <row r="233">
      <c r="A233" s="10" t="inlineStr">
        <is>
          <t>UC-INC-04</t>
        </is>
      </c>
      <c r="B233" s="10" t="inlineStr">
        <is>
          <t>Tự động đóng sự cố khi hồi phục</t>
        </is>
      </c>
      <c r="C233" s="10" t="inlineStr">
        <is>
          <t>Luồng thay thế</t>
        </is>
      </c>
      <c r="D233" s="10" t="inlineStr">
        <is>
          <t>A2</t>
        </is>
      </c>
      <c r="E233" s="10" t="inlineStr">
        <is>
          <t>Node bị tắt giám sát/xóa: đóng mọi sự cố chưa đóng với lý do hệ thống.</t>
        </is>
      </c>
    </row>
    <row r="234">
      <c r="A234" s="10" t="inlineStr">
        <is>
          <t>UC-INC-04</t>
        </is>
      </c>
      <c r="B234" s="10" t="inlineStr">
        <is>
          <t>Tự động đóng sự cố khi hồi phục</t>
        </is>
      </c>
      <c r="C234" s="10" t="inlineStr">
        <is>
          <t>Luồng ngoại lệ</t>
        </is>
      </c>
      <c r="D234" s="10" t="inlineStr">
        <is>
          <t>E1</t>
        </is>
      </c>
      <c r="E234" s="10" t="inlineStr">
        <is>
          <t>Giá trị dao động quanh ngưỡng: nhờ `recoveryMargin` + `consecutiveRecoveries`, sự cố không đóng/mở liên tục (chống flapping).</t>
        </is>
      </c>
    </row>
    <row r="235">
      <c r="A235" s="10" t="inlineStr">
        <is>
          <t>UC-INC-04</t>
        </is>
      </c>
      <c r="B235" s="10" t="inlineStr">
        <is>
          <t>Tự động đóng sự cố khi hồi phục</t>
        </is>
      </c>
      <c r="C235" s="10" t="inlineStr">
        <is>
          <t>Luồng ngoại lệ</t>
        </is>
      </c>
      <c r="D235" s="10" t="inlineStr">
        <is>
          <t>E2</t>
        </is>
      </c>
      <c r="E235" s="10" t="inlineStr">
        <is>
          <t>Sự cố đã được người dùng đóng trước: bỏ qua, không thay đổi bản ghi.</t>
        </is>
      </c>
    </row>
    <row r="236">
      <c r="A236" s="10" t="inlineStr">
        <is>
          <t>UC-INC-05</t>
        </is>
      </c>
      <c r="B236" s="10" t="inlineStr">
        <is>
          <t>Cấu hình ngưỡng cảnh báo</t>
        </is>
      </c>
      <c r="C236" s="10" t="inlineStr">
        <is>
          <t>Luồng chính</t>
        </is>
      </c>
      <c r="D236" s="10" t="inlineStr">
        <is>
          <t>B1</t>
        </is>
      </c>
      <c r="E236" s="10" t="inlineStr">
        <is>
          <t>Hệ thống hiển thị chính sách hiện tại cho CPU / RAM / Disk: ngưỡng cảnh báo, ngưỡng nguy cấp, số lần liên tiếp, biên hồi phục, số lần hồi phục, bật/tắt.</t>
        </is>
      </c>
    </row>
    <row r="237">
      <c r="A237" s="10" t="inlineStr">
        <is>
          <t>UC-INC-05</t>
        </is>
      </c>
      <c r="B237" s="10" t="inlineStr">
        <is>
          <t>Cấu hình ngưỡng cảnh báo</t>
        </is>
      </c>
      <c r="C237" s="10" t="inlineStr">
        <is>
          <t>Luồng chính</t>
        </is>
      </c>
      <c r="D237" s="10" t="inlineStr">
        <is>
          <t>B2</t>
        </is>
      </c>
      <c r="E237" s="10" t="inlineStr">
        <is>
          <t>ADMIN chỉnh giá trị; frontend validate ngay (`warning &lt; critical`, phạm vi hợp lệ).</t>
        </is>
      </c>
    </row>
    <row r="238">
      <c r="A238" s="10" t="inlineStr">
        <is>
          <t>UC-INC-05</t>
        </is>
      </c>
      <c r="B238" s="10" t="inlineStr">
        <is>
          <t>Cấu hình ngưỡng cảnh báo</t>
        </is>
      </c>
      <c r="C238" s="10" t="inlineStr">
        <is>
          <t>Luồng chính</t>
        </is>
      </c>
      <c r="D238" s="10" t="inlineStr">
        <is>
          <t>B3</t>
        </is>
      </c>
      <c r="E238" s="10" t="inlineStr">
        <is>
          <t>(Tùy chọn) Hệ thống hiển thị xem trước: “Với dữ liệu 24 giờ qua, cấu hình này sẽ tạo N sự cố.”</t>
        </is>
      </c>
    </row>
    <row r="239">
      <c r="A239" s="10" t="inlineStr">
        <is>
          <t>UC-INC-05</t>
        </is>
      </c>
      <c r="B239" s="10" t="inlineStr">
        <is>
          <t>Cấu hình ngưỡng cảnh báo</t>
        </is>
      </c>
      <c r="C239" s="10" t="inlineStr">
        <is>
          <t>Luồng chính</t>
        </is>
      </c>
      <c r="D239" s="10" t="inlineStr">
        <is>
          <t>B4</t>
        </is>
      </c>
      <c r="E239" s="10" t="inlineStr">
        <is>
          <t>ADMIN bấm “Lưu”, xác nhận trong hộp thoại nêu hệ quả.</t>
        </is>
      </c>
    </row>
    <row r="240">
      <c r="A240" s="10" t="inlineStr">
        <is>
          <t>UC-INC-05</t>
        </is>
      </c>
      <c r="B240" s="10" t="inlineStr">
        <is>
          <t>Cấu hình ngưỡng cảnh báo</t>
        </is>
      </c>
      <c r="C240" s="10" t="inlineStr">
        <is>
          <t>Luồng chính</t>
        </is>
      </c>
      <c r="D240" s="10" t="inlineStr">
        <is>
          <t>B5</t>
        </is>
      </c>
      <c r="E240" s="10" t="inlineStr">
        <is>
          <t>Frontend gọi `PUT /threshold-policies/global` (hoặc `/nodes/{nodeId}`).</t>
        </is>
      </c>
    </row>
    <row r="241">
      <c r="A241" s="10" t="inlineStr">
        <is>
          <t>UC-INC-05</t>
        </is>
      </c>
      <c r="B241" s="10" t="inlineStr">
        <is>
          <t>Cấu hình ngưỡng cảnh báo</t>
        </is>
      </c>
      <c r="C241" s="10" t="inlineStr">
        <is>
          <t>Luồng chính</t>
        </is>
      </c>
      <c r="D241" s="10" t="inlineStr">
        <is>
          <t>B6</t>
        </is>
      </c>
      <c r="E241" s="10" t="inlineStr">
        <is>
          <t>Incident lưu chính sách; áp dụng từ snapshot kế tiếp, không hồi tố sự cố đang mở.</t>
        </is>
      </c>
    </row>
    <row r="242">
      <c r="A242" s="10" t="inlineStr">
        <is>
          <t>UC-INC-05</t>
        </is>
      </c>
      <c r="B242" s="10" t="inlineStr">
        <is>
          <t>Cấu hình ngưỡng cảnh báo</t>
        </is>
      </c>
      <c r="C242" s="10" t="inlineStr">
        <is>
          <t>Luồng chính</t>
        </is>
      </c>
      <c r="D242" s="10" t="inlineStr">
        <is>
          <t>B7</t>
        </is>
      </c>
      <c r="E242" s="10" t="inlineStr">
        <is>
          <t>Audit ghi `THRESHOLD_POLICY_UPDATED` kèm giá trị trước/sau; Frontend hiện toast.</t>
        </is>
      </c>
    </row>
    <row r="243">
      <c r="A243" s="10" t="inlineStr">
        <is>
          <t>UC-INC-05</t>
        </is>
      </c>
      <c r="B243" s="10" t="inlineStr">
        <is>
          <t>Cấu hình ngưỡng cảnh báo</t>
        </is>
      </c>
      <c r="C243" s="10" t="inlineStr">
        <is>
          <t>Luồng thay thế</t>
        </is>
      </c>
      <c r="D243" s="10" t="inlineStr">
        <is>
          <t>A1</t>
        </is>
      </c>
      <c r="E243" s="10" t="inlineStr">
        <is>
          <t>Ghi đè theo node: ADMIN mở node cụ thể và đặt chính sách riêng; có nút “Gỡ ghi đè” để quay về chính sách toàn cục.</t>
        </is>
      </c>
    </row>
    <row r="244">
      <c r="A244" s="10" t="inlineStr">
        <is>
          <t>UC-INC-05</t>
        </is>
      </c>
      <c r="B244" s="10" t="inlineStr">
        <is>
          <t>Cấu hình ngưỡng cảnh báo</t>
        </is>
      </c>
      <c r="C244" s="10" t="inlineStr">
        <is>
          <t>Luồng thay thế</t>
        </is>
      </c>
      <c r="D244" s="10" t="inlineStr">
        <is>
          <t>A2</t>
        </is>
      </c>
      <c r="E244" s="10" t="inlineStr">
        <is>
          <t>Tắt đánh giá một loại metric: các sự cố đang mở của loại đó được đóng với lý do hệ thống.</t>
        </is>
      </c>
    </row>
    <row r="245">
      <c r="A245" s="10" t="inlineStr">
        <is>
          <t>UC-INC-05</t>
        </is>
      </c>
      <c r="B245" s="10" t="inlineStr">
        <is>
          <t>Cấu hình ngưỡng cảnh báo</t>
        </is>
      </c>
      <c r="C245" s="10" t="inlineStr">
        <is>
          <t>Luồng ngoại lệ</t>
        </is>
      </c>
      <c r="D245" s="10" t="inlineStr">
        <is>
          <t>E1</t>
        </is>
      </c>
      <c r="E245" s="10" t="inlineStr">
        <is>
          <t>`warning ≥ critical`: `400 SOE-INC-400`; frontend chặn từ trước.</t>
        </is>
      </c>
    </row>
    <row r="246">
      <c r="A246" s="10" t="inlineStr">
        <is>
          <t>UC-INC-05</t>
        </is>
      </c>
      <c r="B246" s="10" t="inlineStr">
        <is>
          <t>Cấu hình ngưỡng cảnh báo</t>
        </is>
      </c>
      <c r="C246" s="10" t="inlineStr">
        <is>
          <t>Luồng ngoại lệ</t>
        </is>
      </c>
      <c r="D246" s="10" t="inlineStr">
        <is>
          <t>E2</t>
        </is>
      </c>
      <c r="E246" s="10" t="inlineStr">
        <is>
          <t>Giá trị ngoài phạm vi (0, 150, chữ): `400` kèm lỗi theo field.</t>
        </is>
      </c>
    </row>
    <row r="247">
      <c r="A247" s="10" t="inlineStr">
        <is>
          <t>UC-INC-05</t>
        </is>
      </c>
      <c r="B247" s="10" t="inlineStr">
        <is>
          <t>Cấu hình ngưỡng cảnh báo</t>
        </is>
      </c>
      <c r="C247" s="10" t="inlineStr">
        <is>
          <t>Luồng ngoại lệ</t>
        </is>
      </c>
      <c r="D247" s="10" t="inlineStr">
        <is>
          <t>E3</t>
        </is>
      </c>
      <c r="E247" s="10" t="inlineStr">
        <is>
          <t>Không phải ADMIN: `403`.</t>
        </is>
      </c>
    </row>
    <row r="248">
      <c r="A248" s="10" t="inlineStr">
        <is>
          <t>UC-INC-05</t>
        </is>
      </c>
      <c r="B248" s="10" t="inlineStr">
        <is>
          <t>Cấu hình ngưỡng cảnh báo</t>
        </is>
      </c>
      <c r="C248" s="10" t="inlineStr">
        <is>
          <t>Luồng ngoại lệ</t>
        </is>
      </c>
      <c r="D248" s="10" t="inlineStr">
        <is>
          <t>E4</t>
        </is>
      </c>
      <c r="E248" s="10" t="inlineStr">
        <is>
          <t>Hai ADMIN sửa đồng thời: `409` (optimistic concurrency); người sau phải tải lại giá trị mới nhất.</t>
        </is>
      </c>
    </row>
    <row r="249">
      <c r="A249" s="10" t="inlineStr">
        <is>
          <t>UC-NTF-01</t>
        </is>
      </c>
      <c r="B249" s="10" t="inlineStr">
        <is>
          <t>Gửi cảnh báo sự cố</t>
        </is>
      </c>
      <c r="C249" s="10" t="inlineStr">
        <is>
          <t>Luồng chính</t>
        </is>
      </c>
      <c r="D249" s="10" t="inlineStr">
        <is>
          <t>B1</t>
        </is>
      </c>
      <c r="E249" s="10" t="inlineStr">
        <is>
          <t>Notification nhận sự kiện sự cố.</t>
        </is>
      </c>
    </row>
    <row r="250">
      <c r="A250" s="10" t="inlineStr">
        <is>
          <t>UC-NTF-01</t>
        </is>
      </c>
      <c r="B250" s="10" t="inlineStr">
        <is>
          <t>Gửi cảnh báo sự cố</t>
        </is>
      </c>
      <c r="C250" s="10" t="inlineStr">
        <is>
          <t>Luồng chính</t>
        </is>
      </c>
      <c r="D250" s="10" t="inlineStr">
        <is>
          <t>B2</t>
        </is>
      </c>
      <c r="E250" s="10" t="inlineStr">
        <is>
          <t>Lấy danh sách kênh đang bật có `minSeverity ≤ severity` và khớp bộ lọc node/tag.</t>
        </is>
      </c>
    </row>
    <row r="251">
      <c r="A251" s="10" t="inlineStr">
        <is>
          <t>UC-NTF-01</t>
        </is>
      </c>
      <c r="B251" s="10" t="inlineStr">
        <is>
          <t>Gửi cảnh báo sự cố</t>
        </is>
      </c>
      <c r="C251" s="10" t="inlineStr">
        <is>
          <t>Luồng chính</t>
        </is>
      </c>
      <c r="D251" s="10" t="inlineStr">
        <is>
          <t>B3</t>
        </is>
      </c>
      <c r="E251" s="10" t="inlineStr">
        <is>
          <t>Với mỗi kênh, tính `deliveryId` và kiểm tra throttle (cùng sự cố + kênh + loại sự kiện trong 30 phút ⇒ bỏ qua, ghi `SKIPPED_THROTTLED`).</t>
        </is>
      </c>
    </row>
    <row r="252">
      <c r="A252" s="10" t="inlineStr">
        <is>
          <t>UC-NTF-01</t>
        </is>
      </c>
      <c r="B252" s="10" t="inlineStr">
        <is>
          <t>Gửi cảnh báo sự cố</t>
        </is>
      </c>
      <c r="C252" s="10" t="inlineStr">
        <is>
          <t>Luồng chính</t>
        </is>
      </c>
      <c r="D252" s="10" t="inlineStr">
        <is>
          <t>B4</t>
        </is>
      </c>
      <c r="E252" s="10" t="inlineStr">
        <is>
          <t>Dựng nội dung: email HTML tiếng Việt (bảng CPU/RAM/Disk có màu, khuyến nghị xử lý, liên kết sự cố) hoặc payload webhook theo `format`.</t>
        </is>
      </c>
    </row>
    <row r="253">
      <c r="A253" s="10" t="inlineStr">
        <is>
          <t>UC-NTF-01</t>
        </is>
      </c>
      <c r="B253" s="10" t="inlineStr">
        <is>
          <t>Gửi cảnh báo sự cố</t>
        </is>
      </c>
      <c r="C253" s="10" t="inlineStr">
        <is>
          <t>Luồng chính</t>
        </is>
      </c>
      <c r="D253" s="10" t="inlineStr">
        <is>
          <t>B5</t>
        </is>
      </c>
      <c r="E253" s="10" t="inlineStr">
        <is>
          <t>Gửi đi:</t>
        </is>
      </c>
    </row>
    <row r="254">
      <c r="A254" s="10" t="inlineStr">
        <is>
          <t>UC-NTF-01</t>
        </is>
      </c>
      <c r="B254" s="10" t="inlineStr">
        <is>
          <t>Gửi cảnh báo sự cố</t>
        </is>
      </c>
      <c r="C254" s="10" t="inlineStr">
        <is>
          <t>Luồng chính</t>
        </is>
      </c>
      <c r="D254" s="10" t="inlineStr">
        <is>
          <t>B6</t>
        </is>
      </c>
      <c r="E254" s="10" t="inlineStr">
        <is>
          <t>Ghi `DeliveryLogs` (`SENT`, `latencyMs`), phát `AlertDispatchedV1`; Audit ghi nhận.</t>
        </is>
      </c>
    </row>
    <row r="255">
      <c r="A255" s="10" t="inlineStr">
        <is>
          <t>UC-NTF-01</t>
        </is>
      </c>
      <c r="B255" s="10" t="inlineStr">
        <is>
          <t>Gửi cảnh báo sự cố</t>
        </is>
      </c>
      <c r="C255" s="10" t="inlineStr">
        <is>
          <t>Luồng chính</t>
        </is>
      </c>
      <c r="D255" s="10" t="inlineStr">
        <is>
          <t>B7</t>
        </is>
      </c>
      <c r="E255" s="10" t="inlineStr">
        <is>
          <t>Realtime đẩy thông báo tới giao diện người dùng đang mở (toast).</t>
        </is>
      </c>
    </row>
    <row r="256">
      <c r="A256" s="10" t="inlineStr">
        <is>
          <t>UC-NTF-01</t>
        </is>
      </c>
      <c r="B256" s="10" t="inlineStr">
        <is>
          <t>Gửi cảnh báo sự cố</t>
        </is>
      </c>
      <c r="C256" s="10" t="inlineStr">
        <is>
          <t>Luồng thay thế</t>
        </is>
      </c>
      <c r="D256" s="10" t="inlineStr">
        <is>
          <t>A1</t>
        </is>
      </c>
      <c r="E256" s="10" t="inlineStr">
        <is>
          <t>Nâng cấp mức độ: `IncidentEscalatedV1` bỏ qua throttle (người trực cần biết ngay).</t>
        </is>
      </c>
    </row>
    <row r="257">
      <c r="A257" s="10" t="inlineStr">
        <is>
          <t>UC-NTF-01</t>
        </is>
      </c>
      <c r="B257" s="10" t="inlineStr">
        <is>
          <t>Gửi cảnh báo sự cố</t>
        </is>
      </c>
      <c r="C257" s="10" t="inlineStr">
        <is>
          <t>Luồng thay thế</t>
        </is>
      </c>
      <c r="D257" s="10" t="inlineStr">
        <is>
          <t>A2</t>
        </is>
      </c>
      <c r="E257" s="10" t="inlineStr">
        <is>
          <t>Thông báo khi đóng sự cố: chỉ gửi cho kênh bật `notifyOnResolve`.</t>
        </is>
      </c>
    </row>
    <row r="258">
      <c r="A258" s="10" t="inlineStr">
        <is>
          <t>UC-NTF-01</t>
        </is>
      </c>
      <c r="B258" s="10" t="inlineStr">
        <is>
          <t>Gửi cảnh báo sự cố</t>
        </is>
      </c>
      <c r="C258" s="10" t="inlineStr">
        <is>
          <t>Luồng thay thế</t>
        </is>
      </c>
      <c r="D258" s="10" t="inlineStr">
        <is>
          <t>A3</t>
        </is>
      </c>
      <c r="E258" s="10" t="inlineStr">
        <is>
          <t>Bão sự cố: &gt; 20 sự cố trong 5 phút ⇒ gộp thành một email tổng hợp (digest).</t>
        </is>
      </c>
    </row>
    <row r="259">
      <c r="A259" s="10" t="inlineStr">
        <is>
          <t>UC-NTF-01</t>
        </is>
      </c>
      <c r="B259" s="10" t="inlineStr">
        <is>
          <t>Gửi cảnh báo sự cố</t>
        </is>
      </c>
      <c r="C259" s="10" t="inlineStr">
        <is>
          <t>Luồng thay thế</t>
        </is>
      </c>
      <c r="D259" s="10" t="inlineStr">
        <is>
          <t>A4</t>
        </is>
      </c>
      <c r="E259" s="10" t="inlineStr">
        <is>
          <t>Kênh có bộ lọc node: chỉ gửi cho sự cố thuộc node/tag đã chọn.</t>
        </is>
      </c>
    </row>
    <row r="260">
      <c r="A260" s="10" t="inlineStr">
        <is>
          <t>UC-NTF-01</t>
        </is>
      </c>
      <c r="B260" s="10" t="inlineStr">
        <is>
          <t>Gửi cảnh báo sự cố</t>
        </is>
      </c>
      <c r="C260" s="10" t="inlineStr">
        <is>
          <t>Luồng ngoại lệ</t>
        </is>
      </c>
      <c r="D260" s="10" t="inlineStr">
        <is>
          <t>E1</t>
        </is>
      </c>
      <c r="E260" s="10" t="inlineStr">
        <is>
          <t>Lỗi tạm thời (timeout, 5xx, SMTP 4xx): retry 3 lần backoff 1s → 4s → 16s.</t>
        </is>
      </c>
    </row>
    <row r="261">
      <c r="A261" s="10" t="inlineStr">
        <is>
          <t>UC-NTF-01</t>
        </is>
      </c>
      <c r="B261" s="10" t="inlineStr">
        <is>
          <t>Gửi cảnh báo sự cố</t>
        </is>
      </c>
      <c r="C261" s="10" t="inlineStr">
        <is>
          <t>Luồng ngoại lệ</t>
        </is>
      </c>
      <c r="D261" s="10" t="inlineStr">
        <is>
          <t>E2</t>
        </is>
      </c>
      <c r="E261" s="10" t="inlineStr">
        <is>
          <t>Thất bại hẳn: ghi `DeliveryLogs` trạng thái `FAILED` kèm lý do rút gọn, phát `AlertFailedV1`, message vào DLQ để vận hành xử lý.</t>
        </is>
      </c>
    </row>
    <row r="262">
      <c r="A262" s="10" t="inlineStr">
        <is>
          <t>UC-NTF-01</t>
        </is>
      </c>
      <c r="B262" s="10" t="inlineStr">
        <is>
          <t>Gửi cảnh báo sự cố</t>
        </is>
      </c>
      <c r="C262" s="10" t="inlineStr">
        <is>
          <t>Luồng ngoại lệ</t>
        </is>
      </c>
      <c r="D262" s="10" t="inlineStr">
        <is>
          <t>E3</t>
        </is>
      </c>
      <c r="E262" s="10" t="inlineStr">
        <is>
          <t>Kênh lỗi 10 lần liên tiếp: tự tắt kênh, phát `ChannelAutoDisabledV1`, thông báo ADMIN.</t>
        </is>
      </c>
    </row>
    <row r="263">
      <c r="A263" s="10" t="inlineStr">
        <is>
          <t>UC-NTF-01</t>
        </is>
      </c>
      <c r="B263" s="10" t="inlineStr">
        <is>
          <t>Gửi cảnh báo sự cố</t>
        </is>
      </c>
      <c r="C263" s="10" t="inlineStr">
        <is>
          <t>Luồng ngoại lệ</t>
        </is>
      </c>
      <c r="D263" s="10" t="inlineStr">
        <is>
          <t>E4</t>
        </is>
      </c>
      <c r="E263" s="10" t="inlineStr">
        <is>
          <t>Webhook trỏ IP nội bộ: chặn trước khi gửi (chống SSRF), ghi `FAILED` với lý do rõ ràng.</t>
        </is>
      </c>
    </row>
    <row r="264">
      <c r="A264" s="10" t="inlineStr">
        <is>
          <t>UC-NTF-01</t>
        </is>
      </c>
      <c r="B264" s="10" t="inlineStr">
        <is>
          <t>Gửi cảnh báo sự cố</t>
        </is>
      </c>
      <c r="C264" s="10" t="inlineStr">
        <is>
          <t>Luồng ngoại lệ</t>
        </is>
      </c>
      <c r="D264" s="10" t="inlineStr">
        <is>
          <t>E5</t>
        </is>
      </c>
      <c r="E264" s="10" t="inlineStr">
        <is>
          <t>Message xử lý lại: `deliveryId` trùng ⇒ không gửi lần hai (idempotent).</t>
        </is>
      </c>
    </row>
    <row r="265">
      <c r="A265" s="10" t="inlineStr">
        <is>
          <t>UC-NTF-01</t>
        </is>
      </c>
      <c r="B265" s="10" t="inlineStr">
        <is>
          <t>Gửi cảnh báo sự cố</t>
        </is>
      </c>
      <c r="C265" s="10" t="inlineStr">
        <is>
          <t>Luồng ngoại lệ</t>
        </is>
      </c>
      <c r="D265" s="10" t="inlineStr">
        <is>
          <t>E6</t>
        </is>
      </c>
      <c r="E265" s="10" t="inlineStr">
        <is>
          <t>Không có kênh nào phù hợp: ghi log mức Information; sự cố vẫn hiển thị trên giao diện.</t>
        </is>
      </c>
    </row>
    <row r="266">
      <c r="A266" s="10" t="inlineStr">
        <is>
          <t>UC-NTF-02</t>
        </is>
      </c>
      <c r="B266" s="10" t="inlineStr">
        <is>
          <t>Quản lý kênh cảnh báo</t>
        </is>
      </c>
      <c r="C266" s="10" t="inlineStr">
        <is>
          <t>Luồng chính</t>
        </is>
      </c>
      <c r="D266" s="10" t="inlineStr">
        <is>
          <t>B1</t>
        </is>
      </c>
      <c r="E266" s="10" t="inlineStr">
        <is>
          <t>Hệ thống hiển thị danh sách kênh: tên, loại, đích nhận đã che (`o*@example.com`), mức tối thiểu, trạng thái, lần gửi gần nhất, tỷ lệ thành công 24 giờ.</t>
        </is>
      </c>
    </row>
    <row r="267">
      <c r="A267" s="10" t="inlineStr">
        <is>
          <t>UC-NTF-02</t>
        </is>
      </c>
      <c r="B267" s="10" t="inlineStr">
        <is>
          <t>Quản lý kênh cảnh báo</t>
        </is>
      </c>
      <c r="C267" s="10" t="inlineStr">
        <is>
          <t>Luồng chính</t>
        </is>
      </c>
      <c r="D267" s="10" t="inlineStr">
        <is>
          <t>B2</t>
        </is>
      </c>
      <c r="E267" s="10" t="inlineStr">
        <is>
          <t>ADMIN bấm “Thêm kênh”; chọn loại `EMAIL` hoặc `WEBHOOK`.</t>
        </is>
      </c>
    </row>
    <row r="268">
      <c r="A268" s="10" t="inlineStr">
        <is>
          <t>UC-NTF-02</t>
        </is>
      </c>
      <c r="B268" s="10" t="inlineStr">
        <is>
          <t>Quản lý kênh cảnh báo</t>
        </is>
      </c>
      <c r="C268" s="10" t="inlineStr">
        <is>
          <t>Luồng chính</t>
        </is>
      </c>
      <c r="D268" s="10" t="inlineStr">
        <is>
          <t>B3</t>
        </is>
      </c>
      <c r="E268" s="10" t="inlineStr">
        <is>
          <t>Form đổi trường theo loại: email → danh sách địa chỉ; webhook → URL, `format` (Slack/Teams/Discord/Generic), secret HMAC.</t>
        </is>
      </c>
    </row>
    <row r="269">
      <c r="A269" s="10" t="inlineStr">
        <is>
          <t>UC-NTF-02</t>
        </is>
      </c>
      <c r="B269" s="10" t="inlineStr">
        <is>
          <t>Quản lý kênh cảnh báo</t>
        </is>
      </c>
      <c r="C269" s="10" t="inlineStr">
        <is>
          <t>Luồng chính</t>
        </is>
      </c>
      <c r="D269" s="10" t="inlineStr">
        <is>
          <t>B4</t>
        </is>
      </c>
      <c r="E269" s="10" t="inlineStr">
        <is>
          <t>ADMIN đặt `minSeverity`, tùy chọn “thông báo khi đóng”, bộ lọc node/tag, trạng thái bật.</t>
        </is>
      </c>
    </row>
    <row r="270">
      <c r="A270" s="10" t="inlineStr">
        <is>
          <t>UC-NTF-02</t>
        </is>
      </c>
      <c r="B270" s="10" t="inlineStr">
        <is>
          <t>Quản lý kênh cảnh báo</t>
        </is>
      </c>
      <c r="C270" s="10" t="inlineStr">
        <is>
          <t>Luồng chính</t>
        </is>
      </c>
      <c r="D270" s="10" t="inlineStr">
        <is>
          <t>B5</t>
        </is>
      </c>
      <c r="E270" s="10" t="inlineStr">
        <is>
          <t>Frontend validate (HTTPS, không trỏ IP nội bộ, độ dài secret…).</t>
        </is>
      </c>
    </row>
    <row r="271">
      <c r="A271" s="10" t="inlineStr">
        <is>
          <t>UC-NTF-02</t>
        </is>
      </c>
      <c r="B271" s="10" t="inlineStr">
        <is>
          <t>Quản lý kênh cảnh báo</t>
        </is>
      </c>
      <c r="C271" s="10" t="inlineStr">
        <is>
          <t>Luồng chính</t>
        </is>
      </c>
      <c r="D271" s="10" t="inlineStr">
        <is>
          <t>B6</t>
        </is>
      </c>
      <c r="E271" s="10" t="inlineStr">
        <is>
          <t>Gọi `POST /alert-channels`; Notification mã hóa đích nhận và secret, lưu, trả `201`.</t>
        </is>
      </c>
    </row>
    <row r="272">
      <c r="A272" s="10" t="inlineStr">
        <is>
          <t>UC-NTF-02</t>
        </is>
      </c>
      <c r="B272" s="10" t="inlineStr">
        <is>
          <t>Quản lý kênh cảnh báo</t>
        </is>
      </c>
      <c r="C272" s="10" t="inlineStr">
        <is>
          <t>Luồng chính</t>
        </is>
      </c>
      <c r="D272" s="10" t="inlineStr">
        <is>
          <t>B7</t>
        </is>
      </c>
      <c r="E272" s="10" t="inlineStr">
        <is>
          <t>Audit ghi `CHANNEL_CREATED`; danh sách cập nhật, hiện toast.</t>
        </is>
      </c>
    </row>
    <row r="273">
      <c r="A273" s="10" t="inlineStr">
        <is>
          <t>UC-NTF-02</t>
        </is>
      </c>
      <c r="B273" s="10" t="inlineStr">
        <is>
          <t>Quản lý kênh cảnh báo</t>
        </is>
      </c>
      <c r="C273" s="10" t="inlineStr">
        <is>
          <t>Luồng thay thế</t>
        </is>
      </c>
      <c r="D273" s="10" t="inlineStr">
        <is>
          <t>A1</t>
        </is>
      </c>
      <c r="E273" s="10" t="inlineStr">
        <is>
          <t>Sửa kênh: để trống secret = giữ nguyên; `PUT /alert-channels/{id}`.</t>
        </is>
      </c>
    </row>
    <row r="274">
      <c r="A274" s="10" t="inlineStr">
        <is>
          <t>UC-NTF-02</t>
        </is>
      </c>
      <c r="B274" s="10" t="inlineStr">
        <is>
          <t>Quản lý kênh cảnh báo</t>
        </is>
      </c>
      <c r="C274" s="10" t="inlineStr">
        <is>
          <t>Luồng thay thế</t>
        </is>
      </c>
      <c r="D274" s="10" t="inlineStr">
        <is>
          <t>A2</t>
        </is>
      </c>
      <c r="E274" s="10" t="inlineStr">
        <is>
          <t>Bật/tắt nhanh: `PUT /alert-channels/{id}/status`.</t>
        </is>
      </c>
    </row>
    <row r="275">
      <c r="A275" s="10" t="inlineStr">
        <is>
          <t>UC-NTF-02</t>
        </is>
      </c>
      <c r="B275" s="10" t="inlineStr">
        <is>
          <t>Quản lý kênh cảnh báo</t>
        </is>
      </c>
      <c r="C275" s="10" t="inlineStr">
        <is>
          <t>Luồng thay thế</t>
        </is>
      </c>
      <c r="D275" s="10" t="inlineStr">
        <is>
          <t>A3</t>
        </is>
      </c>
      <c r="E275" s="10" t="inlineStr">
        <is>
          <t>Xóa kênh: hộp thoại xác nhận → `DELETE` → `204`.</t>
        </is>
      </c>
    </row>
    <row r="276">
      <c r="A276" s="10" t="inlineStr">
        <is>
          <t>UC-NTF-02</t>
        </is>
      </c>
      <c r="B276" s="10" t="inlineStr">
        <is>
          <t>Quản lý kênh cảnh báo</t>
        </is>
      </c>
      <c r="C276" s="10" t="inlineStr">
        <is>
          <t>Luồng ngoại lệ</t>
        </is>
      </c>
      <c r="D276" s="10" t="inlineStr">
        <is>
          <t>E1</t>
        </is>
      </c>
      <c r="E276" s="10" t="inlineStr">
        <is>
          <t>Trùng tên kênh: `409 SOE-NTF-409`.</t>
        </is>
      </c>
    </row>
    <row r="277">
      <c r="A277" s="10" t="inlineStr">
        <is>
          <t>UC-NTF-02</t>
        </is>
      </c>
      <c r="B277" s="10" t="inlineStr">
        <is>
          <t>Quản lý kênh cảnh báo</t>
        </is>
      </c>
      <c r="C277" s="10" t="inlineStr">
        <is>
          <t>Luồng ngoại lệ</t>
        </is>
      </c>
      <c r="D277" s="10" t="inlineStr">
        <is>
          <t>E2</t>
        </is>
      </c>
      <c r="E277" s="10" t="inlineStr">
        <is>
          <t>URL không phải HTTPS hoặc trỏ mạng nội bộ: `422 SOE-NTF-422` (chặn SSRF).</t>
        </is>
      </c>
    </row>
    <row r="278">
      <c r="A278" s="10" t="inlineStr">
        <is>
          <t>UC-NTF-02</t>
        </is>
      </c>
      <c r="B278" s="10" t="inlineStr">
        <is>
          <t>Quản lý kênh cảnh báo</t>
        </is>
      </c>
      <c r="C278" s="10" t="inlineStr">
        <is>
          <t>Luồng ngoại lệ</t>
        </is>
      </c>
      <c r="D278" s="10" t="inlineStr">
        <is>
          <t>E3</t>
        </is>
      </c>
      <c r="E278" s="10" t="inlineStr">
        <is>
          <t>Email sai định dạng / quá 10 địa chỉ: `400` kèm lỗi theo field.</t>
        </is>
      </c>
    </row>
    <row r="279">
      <c r="A279" s="10" t="inlineStr">
        <is>
          <t>UC-NTF-02</t>
        </is>
      </c>
      <c r="B279" s="10" t="inlineStr">
        <is>
          <t>Quản lý kênh cảnh báo</t>
        </is>
      </c>
      <c r="C279" s="10" t="inlineStr">
        <is>
          <t>Luồng ngoại lệ</t>
        </is>
      </c>
      <c r="D279" s="10" t="inlineStr">
        <is>
          <t>E4</t>
        </is>
      </c>
      <c r="E279" s="10" t="inlineStr">
        <is>
          <t>Không phải ADMIN: `403`.</t>
        </is>
      </c>
    </row>
    <row r="280">
      <c r="A280" s="10" t="inlineStr">
        <is>
          <t>UC-NTF-03</t>
        </is>
      </c>
      <c r="B280" s="10" t="inlineStr">
        <is>
          <t>Gửi thử kênh cảnh báo</t>
        </is>
      </c>
      <c r="C280" s="10" t="inlineStr">
        <is>
          <t>Luồng chính</t>
        </is>
      </c>
      <c r="D280" s="10" t="inlineStr">
        <is>
          <t>B1</t>
        </is>
      </c>
      <c r="E280" s="10" t="inlineStr">
        <is>
          <t>Frontend gọi `POST /alert-channels/{id}/test` (rate limit 5/phút).</t>
        </is>
      </c>
    </row>
    <row r="281">
      <c r="A281" s="10" t="inlineStr">
        <is>
          <t>UC-NTF-03</t>
        </is>
      </c>
      <c r="B281" s="10" t="inlineStr">
        <is>
          <t>Gửi thử kênh cảnh báo</t>
        </is>
      </c>
      <c r="C281" s="10" t="inlineStr">
        <is>
          <t>Luồng chính</t>
        </is>
      </c>
      <c r="D281" s="10" t="inlineStr">
        <is>
          <t>B2</t>
        </is>
      </c>
      <c r="E281" s="10" t="inlineStr">
        <is>
          <t>Notification dựng thông điệp mẫu “Đây là thông báo thử từ Smart Ops Engine”.</t>
        </is>
      </c>
    </row>
    <row r="282">
      <c r="A282" s="10" t="inlineStr">
        <is>
          <t>UC-NTF-03</t>
        </is>
      </c>
      <c r="B282" s="10" t="inlineStr">
        <is>
          <t>Gửi thử kênh cảnh báo</t>
        </is>
      </c>
      <c r="C282" s="10" t="inlineStr">
        <is>
          <t>Luồng chính</t>
        </is>
      </c>
      <c r="D282" s="10" t="inlineStr">
        <is>
          <t>B3</t>
        </is>
      </c>
      <c r="E282" s="10" t="inlineStr">
        <is>
          <t>Gửi qua kênh tương ứng với cùng cơ chế bảo mật như cảnh báo thật.</t>
        </is>
      </c>
    </row>
    <row r="283">
      <c r="A283" s="10" t="inlineStr">
        <is>
          <t>UC-NTF-03</t>
        </is>
      </c>
      <c r="B283" s="10" t="inlineStr">
        <is>
          <t>Gửi thử kênh cảnh báo</t>
        </is>
      </c>
      <c r="C283" s="10" t="inlineStr">
        <is>
          <t>Luồng chính</t>
        </is>
      </c>
      <c r="D283" s="10" t="inlineStr">
        <is>
          <t>B4</t>
        </is>
      </c>
      <c r="E283" s="10" t="inlineStr">
        <is>
          <t>Trả `{ success, latencyMs, error }`; ghi `DeliveryLogs` và Audit `CHANNEL_TESTED`.</t>
        </is>
      </c>
    </row>
    <row r="284">
      <c r="A284" s="10" t="inlineStr">
        <is>
          <t>UC-NTF-03</t>
        </is>
      </c>
      <c r="B284" s="10" t="inlineStr">
        <is>
          <t>Gửi thử kênh cảnh báo</t>
        </is>
      </c>
      <c r="C284" s="10" t="inlineStr">
        <is>
          <t>Luồng chính</t>
        </is>
      </c>
      <c r="D284" s="10" t="inlineStr">
        <is>
          <t>B5</t>
        </is>
      </c>
      <c r="E284" s="10" t="inlineStr">
        <is>
          <t>Frontend hiển thị kết quả ngay trong modal và khóa nút 12 giây.</t>
        </is>
      </c>
    </row>
    <row r="285">
      <c r="A285" s="10" t="inlineStr">
        <is>
          <t>UC-NTF-03</t>
        </is>
      </c>
      <c r="B285" s="10" t="inlineStr">
        <is>
          <t>Gửi thử kênh cảnh báo</t>
        </is>
      </c>
      <c r="C285" s="10" t="inlineStr">
        <is>
          <t>Luồng ngoại lệ</t>
        </is>
      </c>
      <c r="D285" s="10" t="inlineStr">
        <is>
          <t>E1</t>
        </is>
      </c>
      <c r="E285" s="10" t="inlineStr">
        <is>
          <t>SMTP sai cấu hình: `503 SOE-NTF-503` với lý do (sai tài khoản, không kết nối được, TLS lỗi).</t>
        </is>
      </c>
    </row>
    <row r="286">
      <c r="A286" s="10" t="inlineStr">
        <is>
          <t>UC-NTF-03</t>
        </is>
      </c>
      <c r="B286" s="10" t="inlineStr">
        <is>
          <t>Gửi thử kênh cảnh báo</t>
        </is>
      </c>
      <c r="C286" s="10" t="inlineStr">
        <is>
          <t>Luồng ngoại lệ</t>
        </is>
      </c>
      <c r="D286" s="10" t="inlineStr">
        <is>
          <t>E2</t>
        </is>
      </c>
      <c r="E286" s="10" t="inlineStr">
        <is>
          <t>Webhook trả 4xx/5xx: `success = false` kèm mã trạng thái nhận được.</t>
        </is>
      </c>
    </row>
    <row r="287">
      <c r="A287" s="10" t="inlineStr">
        <is>
          <t>UC-NTF-03</t>
        </is>
      </c>
      <c r="B287" s="10" t="inlineStr">
        <is>
          <t>Gửi thử kênh cảnh báo</t>
        </is>
      </c>
      <c r="C287" s="10" t="inlineStr">
        <is>
          <t>Luồng ngoại lệ</t>
        </is>
      </c>
      <c r="D287" s="10" t="inlineStr">
        <is>
          <t>E3</t>
        </is>
      </c>
      <c r="E287" s="10" t="inlineStr">
        <is>
          <t>Gửi thử quá nhiều: `429`.</t>
        </is>
      </c>
    </row>
    <row r="288">
      <c r="A288" s="10" t="inlineStr">
        <is>
          <t>UC-NTF-03</t>
        </is>
      </c>
      <c r="B288" s="10" t="inlineStr">
        <is>
          <t>Gửi thử kênh cảnh báo</t>
        </is>
      </c>
      <c r="C288" s="10" t="inlineStr">
        <is>
          <t>Luồng ngoại lệ</t>
        </is>
      </c>
      <c r="D288" s="10" t="inlineStr">
        <is>
          <t>E4</t>
        </is>
      </c>
      <c r="E288" s="10" t="inlineStr">
        <is>
          <t>URL nội bộ: bị chặn, trả lý do bảo mật.</t>
        </is>
      </c>
    </row>
    <row r="289">
      <c r="A289" s="10" t="inlineStr">
        <is>
          <t>UC-NTF-04</t>
        </is>
      </c>
      <c r="B289" s="10" t="inlineStr">
        <is>
          <t>Báo cáo sức khỏe hằng ngày</t>
        </is>
      </c>
      <c r="C289" s="10" t="inlineStr">
        <is>
          <t>Luồng chính</t>
        </is>
      </c>
      <c r="D289" s="10" t="inlineStr">
        <is>
          <t>B1</t>
        </is>
      </c>
      <c r="E289" s="10" t="inlineStr">
        <is>
          <t>Job chạy trên một instance duy nhất (khóa phân tán).</t>
        </is>
      </c>
    </row>
    <row r="290">
      <c r="A290" s="10" t="inlineStr">
        <is>
          <t>UC-NTF-04</t>
        </is>
      </c>
      <c r="B290" s="10" t="inlineStr">
        <is>
          <t>Báo cáo sức khỏe hằng ngày</t>
        </is>
      </c>
      <c r="C290" s="10" t="inlineStr">
        <is>
          <t>Luồng chính</t>
        </is>
      </c>
      <c r="D290" s="10" t="inlineStr">
        <is>
          <t>B2</t>
        </is>
      </c>
      <c r="E290" s="10" t="inlineStr">
        <is>
          <t>Thu thập số liệu: số node đang giám sát, số node cảnh báo/nguy cấp/không liên lạc được, số sự cố đang mở, sự cố mới trong 24 giờ, số sự cố đã đóng, MTTR.</t>
        </is>
      </c>
    </row>
    <row r="291">
      <c r="A291" s="10" t="inlineStr">
        <is>
          <t>UC-NTF-04</t>
        </is>
      </c>
      <c r="B291" s="10" t="inlineStr">
        <is>
          <t>Báo cáo sức khỏe hằng ngày</t>
        </is>
      </c>
      <c r="C291" s="10" t="inlineStr">
        <is>
          <t>Luồng chính</t>
        </is>
      </c>
      <c r="D291" s="10" t="inlineStr">
        <is>
          <t>B3</t>
        </is>
      </c>
      <c r="E291" s="10" t="inlineStr">
        <is>
          <t>Dựng email HTML tiếng Việt kèm bảng tóm tắt và danh sách node đáng chú ý.</t>
        </is>
      </c>
    </row>
    <row r="292">
      <c r="A292" s="10" t="inlineStr">
        <is>
          <t>UC-NTF-04</t>
        </is>
      </c>
      <c r="B292" s="10" t="inlineStr">
        <is>
          <t>Báo cáo sức khỏe hằng ngày</t>
        </is>
      </c>
      <c r="C292" s="10" t="inlineStr">
        <is>
          <t>Luồng chính</t>
        </is>
      </c>
      <c r="D292" s="10" t="inlineStr">
        <is>
          <t>B4</t>
        </is>
      </c>
      <c r="E292" s="10" t="inlineStr">
        <is>
          <t>Gửi tới các kênh được đánh dấu “nhận báo cáo”.</t>
        </is>
      </c>
    </row>
    <row r="293">
      <c r="A293" s="10" t="inlineStr">
        <is>
          <t>UC-NTF-04</t>
        </is>
      </c>
      <c r="B293" s="10" t="inlineStr">
        <is>
          <t>Báo cáo sức khỏe hằng ngày</t>
        </is>
      </c>
      <c r="C293" s="10" t="inlineStr">
        <is>
          <t>Luồng chính</t>
        </is>
      </c>
      <c r="D293" s="10" t="inlineStr">
        <is>
          <t>B5</t>
        </is>
      </c>
      <c r="E293" s="10" t="inlineStr">
        <is>
          <t>Ghi `DeliveryLogs`, phát `DailyReportSentV1`, Audit ghi nhận.</t>
        </is>
      </c>
    </row>
    <row r="294">
      <c r="A294" s="10" t="inlineStr">
        <is>
          <t>UC-NTF-04</t>
        </is>
      </c>
      <c r="B294" s="10" t="inlineStr">
        <is>
          <t>Báo cáo sức khỏe hằng ngày</t>
        </is>
      </c>
      <c r="C294" s="10" t="inlineStr">
        <is>
          <t>Luồng thay thế</t>
        </is>
      </c>
      <c r="D294" s="10" t="inlineStr">
        <is>
          <t>A1</t>
        </is>
      </c>
      <c r="E294" s="10" t="inlineStr">
        <is>
          <t>Không có sự cố nào: báo cáo vẫn gửi với thông điệp “Hệ thống hoạt động bình thường”.</t>
        </is>
      </c>
    </row>
    <row r="295">
      <c r="A295" s="10" t="inlineStr">
        <is>
          <t>UC-NTF-04</t>
        </is>
      </c>
      <c r="B295" s="10" t="inlineStr">
        <is>
          <t>Báo cáo sức khỏe hằng ngày</t>
        </is>
      </c>
      <c r="C295" s="10" t="inlineStr">
        <is>
          <t>Luồng thay thế</t>
        </is>
      </c>
      <c r="D295" s="10" t="inlineStr">
        <is>
          <t>A2</t>
        </is>
      </c>
      <c r="E295" s="10" t="inlineStr">
        <is>
          <t>ADMIN tắt báo cáo: job bỏ qua.</t>
        </is>
      </c>
    </row>
    <row r="296">
      <c r="A296" s="10" t="inlineStr">
        <is>
          <t>UC-NTF-04</t>
        </is>
      </c>
      <c r="B296" s="10" t="inlineStr">
        <is>
          <t>Báo cáo sức khỏe hằng ngày</t>
        </is>
      </c>
      <c r="C296" s="10" t="inlineStr">
        <is>
          <t>Luồng ngoại lệ</t>
        </is>
      </c>
      <c r="D296" s="10" t="inlineStr">
        <is>
          <t>E1</t>
        </is>
      </c>
      <c r="E296" s="10" t="inlineStr">
        <is>
          <t>SMTP lỗi: retry theo chính sách chung; thất bại thì ghi `FAILED` và cảnh báo vận hành.</t>
        </is>
      </c>
    </row>
    <row r="297">
      <c r="A297" s="10" t="inlineStr">
        <is>
          <t>UC-NTF-04</t>
        </is>
      </c>
      <c r="B297" s="10" t="inlineStr">
        <is>
          <t>Báo cáo sức khỏe hằng ngày</t>
        </is>
      </c>
      <c r="C297" s="10" t="inlineStr">
        <is>
          <t>Luồng ngoại lệ</t>
        </is>
      </c>
      <c r="D297" s="10" t="inlineStr">
        <is>
          <t>E2</t>
        </is>
      </c>
      <c r="E297" s="10" t="inlineStr">
        <is>
          <t>Dịch vụ số liệu không phản hồi: báo cáo vẫn gửi với phần thiếu ghi “Không lấy được dữ liệu”, không bỏ hẳn báo cáo.</t>
        </is>
      </c>
    </row>
    <row r="298">
      <c r="A298" s="10" t="inlineStr">
        <is>
          <t>UC-RTM-01</t>
        </is>
      </c>
      <c r="B298" s="10" t="inlineStr">
        <is>
          <t>Theo dõi cập nhật thời gian thực</t>
        </is>
      </c>
      <c r="C298" s="10" t="inlineStr">
        <is>
          <t>Luồng chính</t>
        </is>
      </c>
      <c r="D298" s="10" t="inlineStr">
        <is>
          <t>B1</t>
        </is>
      </c>
      <c r="E298" s="10" t="inlineStr">
        <is>
          <t>Frontend mở kết nối tới `/hubs/monitoring` kèm access token, chỉ dùng transport WebSocket.</t>
        </is>
      </c>
    </row>
    <row r="299">
      <c r="A299" s="10" t="inlineStr">
        <is>
          <t>UC-RTM-01</t>
        </is>
      </c>
      <c r="B299" s="10" t="inlineStr">
        <is>
          <t>Theo dõi cập nhật thời gian thực</t>
        </is>
      </c>
      <c r="C299" s="10" t="inlineStr">
        <is>
          <t>Luồng chính</t>
        </is>
      </c>
      <c r="D299" s="10" t="inlineStr">
        <is>
          <t>B2</t>
        </is>
      </c>
      <c r="E299" s="10" t="inlineStr">
        <is>
          <t>Realtime xác thực token, thêm kết nối vào nhóm `authenticated` (và `admins` nếu là ADMIN).</t>
        </is>
      </c>
    </row>
    <row r="300">
      <c r="A300" s="10" t="inlineStr">
        <is>
          <t>UC-RTM-01</t>
        </is>
      </c>
      <c r="B300" s="10" t="inlineStr">
        <is>
          <t>Theo dõi cập nhật thời gian thực</t>
        </is>
      </c>
      <c r="C300" s="10" t="inlineStr">
        <is>
          <t>Luồng chính</t>
        </is>
      </c>
      <c r="D300" s="10" t="inlineStr">
        <is>
          <t>B3</t>
        </is>
      </c>
      <c r="E300" s="10" t="inlineStr">
        <is>
          <t>Frontend gọi `SubscribeAll()` khi ở Dashboard, `SubscribeNode(nodeId)` khi vào Node Detail.</t>
        </is>
      </c>
    </row>
    <row r="301">
      <c r="A301" s="10" t="inlineStr">
        <is>
          <t>UC-RTM-01</t>
        </is>
      </c>
      <c r="B301" s="10" t="inlineStr">
        <is>
          <t>Theo dõi cập nhật thời gian thực</t>
        </is>
      </c>
      <c r="C301" s="10" t="inlineStr">
        <is>
          <t>Luồng chính</t>
        </is>
      </c>
      <c r="D301" s="10" t="inlineStr">
        <is>
          <t>B4</t>
        </is>
      </c>
      <c r="E301" s="10" t="inlineStr">
        <is>
          <t>Khi có sự kiện (metric mới, sự cố mở/nâng cấp/xác nhận/đóng, trạng thái node đổi), Realtime đẩy tới các nhóm tương ứng.</t>
        </is>
      </c>
    </row>
    <row r="302">
      <c r="A302" s="10" t="inlineStr">
        <is>
          <t>UC-RTM-01</t>
        </is>
      </c>
      <c r="B302" s="10" t="inlineStr">
        <is>
          <t>Theo dõi cập nhật thời gian thực</t>
        </is>
      </c>
      <c r="C302" s="10" t="inlineStr">
        <is>
          <t>Luồng chính</t>
        </is>
      </c>
      <c r="D302" s="10" t="inlineStr">
        <is>
          <t>B5</t>
        </is>
      </c>
      <c r="E302" s="10" t="inlineStr">
        <is>
          <t>Frontend ghi dữ liệu vào cache React Query, cập nhật giao diện không nhấp nháy; sự cố mới hiện toast.</t>
        </is>
      </c>
    </row>
    <row r="303">
      <c r="A303" s="10" t="inlineStr">
        <is>
          <t>UC-RTM-01</t>
        </is>
      </c>
      <c r="B303" s="10" t="inlineStr">
        <is>
          <t>Theo dõi cập nhật thời gian thực</t>
        </is>
      </c>
      <c r="C303" s="10" t="inlineStr">
        <is>
          <t>Luồng chính</t>
        </is>
      </c>
      <c r="D303" s="10" t="inlineStr">
        <is>
          <t>B6</t>
        </is>
      </c>
      <c r="E303" s="10" t="inlineStr">
        <is>
          <t>Chỉ báo “Trực tuyến” hiển thị ở header.</t>
        </is>
      </c>
    </row>
    <row r="304">
      <c r="A304" s="10" t="inlineStr">
        <is>
          <t>UC-RTM-01</t>
        </is>
      </c>
      <c r="B304" s="10" t="inlineStr">
        <is>
          <t>Theo dõi cập nhật thời gian thực</t>
        </is>
      </c>
      <c r="C304" s="10" t="inlineStr">
        <is>
          <t>Luồng thay thế</t>
        </is>
      </c>
      <c r="D304" s="10" t="inlineStr">
        <is>
          <t>A1</t>
        </is>
      </c>
      <c r="E304" s="10" t="inlineStr">
        <is>
          <t>Rời trang node: gọi `UnsubscribeNode(nodeId)` để giảm lưu lượng.</t>
        </is>
      </c>
    </row>
    <row r="305">
      <c r="A305" s="10" t="inlineStr">
        <is>
          <t>UC-RTM-01</t>
        </is>
      </c>
      <c r="B305" s="10" t="inlineStr">
        <is>
          <t>Theo dõi cập nhật thời gian thực</t>
        </is>
      </c>
      <c r="C305" s="10" t="inlineStr">
        <is>
          <t>Luồng thay thế</t>
        </is>
      </c>
      <c r="D305" s="10" t="inlineStr">
        <is>
          <t>A2</t>
        </is>
      </c>
      <c r="E305" s="10" t="inlineStr">
        <is>
          <t>Kết nối lại: sau khi khôi phục, client nhận gói “trạng thái hiện tại” để đồng bộ dữ liệu đã bỏ lỡ.</t>
        </is>
      </c>
    </row>
    <row r="306">
      <c r="A306" s="10" t="inlineStr">
        <is>
          <t>UC-RTM-01</t>
        </is>
      </c>
      <c r="B306" s="10" t="inlineStr">
        <is>
          <t>Theo dõi cập nhật thời gian thực</t>
        </is>
      </c>
      <c r="C306" s="10" t="inlineStr">
        <is>
          <t>Luồng thay thế</t>
        </is>
      </c>
      <c r="D306" s="10" t="inlineStr">
        <is>
          <t>A3</t>
        </is>
      </c>
      <c r="E306" s="10" t="inlineStr">
        <is>
          <t>Tab ẩn lâu: tạm dừng cập nhật biểu đồ, đồng bộ lại khi quay lại.</t>
        </is>
      </c>
    </row>
    <row r="307">
      <c r="A307" s="10" t="inlineStr">
        <is>
          <t>UC-RTM-01</t>
        </is>
      </c>
      <c r="B307" s="10" t="inlineStr">
        <is>
          <t>Theo dõi cập nhật thời gian thực</t>
        </is>
      </c>
      <c r="C307" s="10" t="inlineStr">
        <is>
          <t>Luồng ngoại lệ</t>
        </is>
      </c>
      <c r="D307" s="10" t="inlineStr">
        <is>
          <t>E1</t>
        </is>
      </c>
      <c r="E307" s="10" t="inlineStr">
        <is>
          <t>Mất kết nối: tự kết nối lại với backoff `[0, 2s, 10s, 30s]`; quá 30 giây thì bật polling 30 giây và đổi chỉ báo sang “Đang kết nối lại”.</t>
        </is>
      </c>
    </row>
    <row r="308">
      <c r="A308" s="10" t="inlineStr">
        <is>
          <t>UC-RTM-01</t>
        </is>
      </c>
      <c r="B308" s="10" t="inlineStr">
        <is>
          <t>Theo dõi cập nhật thời gian thực</t>
        </is>
      </c>
      <c r="C308" s="10" t="inlineStr">
        <is>
          <t>Luồng ngoại lệ</t>
        </is>
      </c>
      <c r="D308" s="10" t="inlineStr">
        <is>
          <t>E2</t>
        </is>
      </c>
      <c r="E308" s="10" t="inlineStr">
        <is>
          <t>Token hết hạn: server đóng kết nối; client refresh token rồi kết nối lại.</t>
        </is>
      </c>
    </row>
    <row r="309">
      <c r="A309" s="10" t="inlineStr">
        <is>
          <t>UC-RTM-01</t>
        </is>
      </c>
      <c r="B309" s="10" t="inlineStr">
        <is>
          <t>Theo dõi cập nhật thời gian thực</t>
        </is>
      </c>
      <c r="C309" s="10" t="inlineStr">
        <is>
          <t>Luồng ngoại lệ</t>
        </is>
      </c>
      <c r="D309" s="10" t="inlineStr">
        <is>
          <t>E3</t>
        </is>
      </c>
      <c r="E309" s="10" t="inlineStr">
        <is>
          <t>Vượt 10 kết nối/người dùng: kết nối cũ nhất bị đóng, client đó chuyển sang polling.</t>
        </is>
      </c>
    </row>
    <row r="310">
      <c r="A310" s="10" t="inlineStr">
        <is>
          <t>UC-RTM-01</t>
        </is>
      </c>
      <c r="B310" s="10" t="inlineStr">
        <is>
          <t>Theo dõi cập nhật thời gian thực</t>
        </is>
      </c>
      <c r="C310" s="10" t="inlineStr">
        <is>
          <t>Luồng ngoại lệ</t>
        </is>
      </c>
      <c r="D310" s="10" t="inlineStr">
        <is>
          <t>E4</t>
        </is>
      </c>
      <c r="E310" s="10" t="inlineStr">
        <is>
          <t>Redis backplane lỗi: mỗi instance vẫn phát cho client của mình; một phần cập nhật xuyên instance bị chậm (suy giảm có kiểm soát).</t>
        </is>
      </c>
    </row>
    <row r="311">
      <c r="A311" s="10" t="inlineStr">
        <is>
          <t>UC-RTM-01</t>
        </is>
      </c>
      <c r="B311" s="10" t="inlineStr">
        <is>
          <t>Theo dõi cập nhật thời gian thực</t>
        </is>
      </c>
      <c r="C311" s="10" t="inlineStr">
        <is>
          <t>Luồng ngoại lệ</t>
        </is>
      </c>
      <c r="D311" s="10" t="inlineStr">
        <is>
          <t>E5</t>
        </is>
      </c>
      <c r="E311" s="10" t="inlineStr">
        <is>
          <t>WebSocket bị chặn bởi proxy doanh nghiệp: ứng dụng vẫn dùng được nhờ polling dự phòng.</t>
        </is>
      </c>
    </row>
    <row r="312">
      <c r="A312" s="10" t="inlineStr">
        <is>
          <t>UC-AUD-01</t>
        </is>
      </c>
      <c r="B312" s="10" t="inlineStr">
        <is>
          <t>Tra cứu nhật ký kiểm toán</t>
        </is>
      </c>
      <c r="C312" s="10" t="inlineStr">
        <is>
          <t>Luồng chính</t>
        </is>
      </c>
      <c r="D312" s="10" t="inlineStr">
        <is>
          <t>B1</t>
        </is>
      </c>
      <c r="E312" s="10" t="inlineStr">
        <is>
          <t>Hệ thống hiển thị nhật ký 7 ngày gần nhất, mới nhất trước, có phân trang.</t>
        </is>
      </c>
    </row>
    <row r="313">
      <c r="A313" s="10" t="inlineStr">
        <is>
          <t>UC-AUD-01</t>
        </is>
      </c>
      <c r="B313" s="10" t="inlineStr">
        <is>
          <t>Tra cứu nhật ký kiểm toán</t>
        </is>
      </c>
      <c r="C313" s="10" t="inlineStr">
        <is>
          <t>Luồng chính</t>
        </is>
      </c>
      <c r="D313" s="10" t="inlineStr">
        <is>
          <t>B2</t>
        </is>
      </c>
      <c r="E313" s="10" t="inlineStr">
        <is>
          <t>ADMIN lọc theo khoảng thời gian, người thực hiện, hành động, loại đối tượng, hoặc tìm theo từ khóa (debounce 300 ms).</t>
        </is>
      </c>
    </row>
    <row r="314">
      <c r="A314" s="10" t="inlineStr">
        <is>
          <t>UC-AUD-01</t>
        </is>
      </c>
      <c r="B314" s="10" t="inlineStr">
        <is>
          <t>Tra cứu nhật ký kiểm toán</t>
        </is>
      </c>
      <c r="C314" s="10" t="inlineStr">
        <is>
          <t>Luồng chính</t>
        </is>
      </c>
      <c r="D314" s="10" t="inlineStr">
        <is>
          <t>B3</t>
        </is>
      </c>
      <c r="E314" s="10" t="inlineStr">
        <is>
          <t>Frontend gọi `GET /audit-logs` với tham số lọc; bộ lọc được lưu trong URL để chia sẻ.</t>
        </is>
      </c>
    </row>
    <row r="315">
      <c r="A315" s="10" t="inlineStr">
        <is>
          <t>UC-AUD-01</t>
        </is>
      </c>
      <c r="B315" s="10" t="inlineStr">
        <is>
          <t>Tra cứu nhật ký kiểm toán</t>
        </is>
      </c>
      <c r="C315" s="10" t="inlineStr">
        <is>
          <t>Luồng chính</t>
        </is>
      </c>
      <c r="D315" s="10" t="inlineStr">
        <is>
          <t>B4</t>
        </is>
      </c>
      <c r="E315" s="10" t="inlineStr">
        <is>
          <t>ADMIN mở một bản ghi để xem chi tiết: giá trị trước/sau dạng diff hai cột, trường nhạy cảm hiển thị `*`, kèm `correlationId`.</t>
        </is>
      </c>
    </row>
    <row r="316">
      <c r="A316" s="10" t="inlineStr">
        <is>
          <t>UC-AUD-01</t>
        </is>
      </c>
      <c r="B316" s="10" t="inlineStr">
        <is>
          <t>Tra cứu nhật ký kiểm toán</t>
        </is>
      </c>
      <c r="C316" s="10" t="inlineStr">
        <is>
          <t>Luồng chính</t>
        </is>
      </c>
      <c r="D316" s="10" t="inlineStr">
        <is>
          <t>B5</t>
        </is>
      </c>
      <c r="E316" s="10" t="inlineStr">
        <is>
          <t>(Tùy chọn) ADMIN mở “Dòng thời gian của đối tượng” để xem toàn bộ thao tác trên một node/sự cố.</t>
        </is>
      </c>
    </row>
    <row r="317">
      <c r="A317" s="10" t="inlineStr">
        <is>
          <t>UC-AUD-01</t>
        </is>
      </c>
      <c r="B317" s="10" t="inlineStr">
        <is>
          <t>Tra cứu nhật ký kiểm toán</t>
        </is>
      </c>
      <c r="C317" s="10" t="inlineStr">
        <is>
          <t>Luồng chính</t>
        </is>
      </c>
      <c r="D317" s="10" t="inlineStr">
        <is>
          <t>B6</t>
        </is>
      </c>
      <c r="E317" s="10" t="inlineStr">
        <is>
          <t>(Tùy chọn) ADMIN xuất CSV; hệ thống xác nhận số dòng và ghi `AUDIT_EXPORTED`.</t>
        </is>
      </c>
    </row>
    <row r="318">
      <c r="A318" s="10" t="inlineStr">
        <is>
          <t>UC-AUD-01</t>
        </is>
      </c>
      <c r="B318" s="10" t="inlineStr">
        <is>
          <t>Tra cứu nhật ký kiểm toán</t>
        </is>
      </c>
      <c r="C318" s="10" t="inlineStr">
        <is>
          <t>Luồng thay thế</t>
        </is>
      </c>
      <c r="D318" s="10" t="inlineStr">
        <is>
          <t>A1</t>
        </is>
      </c>
      <c r="E318" s="10" t="inlineStr">
        <is>
          <t>Kiểm tra toàn vẹn: ADMIN gọi “Kiểm tra toàn vẹn” cho một khoảng thời gian; hệ thống xác minh chuỗi băm và báo `isIntact`.</t>
        </is>
      </c>
    </row>
    <row r="319">
      <c r="A319" s="10" t="inlineStr">
        <is>
          <t>UC-AUD-01</t>
        </is>
      </c>
      <c r="B319" s="10" t="inlineStr">
        <is>
          <t>Tra cứu nhật ký kiểm toán</t>
        </is>
      </c>
      <c r="C319" s="10" t="inlineStr">
        <is>
          <t>Luồng thay thế</t>
        </is>
      </c>
      <c r="D319" s="10" t="inlineStr">
        <is>
          <t>A2</t>
        </is>
      </c>
      <c r="E319" s="10" t="inlineStr">
        <is>
          <t>Truy vết theo correlationId: dán mã vào ô tìm kiếm để xem toàn bộ chuỗi thao tác của một request.</t>
        </is>
      </c>
    </row>
    <row r="320">
      <c r="A320" s="10" t="inlineStr">
        <is>
          <t>UC-AUD-01</t>
        </is>
      </c>
      <c r="B320" s="10" t="inlineStr">
        <is>
          <t>Tra cứu nhật ký kiểm toán</t>
        </is>
      </c>
      <c r="C320" s="10" t="inlineStr">
        <is>
          <t>Luồng ngoại lệ</t>
        </is>
      </c>
      <c r="D320" s="10" t="inlineStr">
        <is>
          <t>E1</t>
        </is>
      </c>
      <c r="E320" s="10" t="inlineStr">
        <is>
          <t>Khoảng thời gian &gt; 90 ngày: `400`; frontend chặn và giải thích giới hạn.</t>
        </is>
      </c>
    </row>
    <row r="321">
      <c r="A321" s="10" t="inlineStr">
        <is>
          <t>UC-AUD-01</t>
        </is>
      </c>
      <c r="B321" s="10" t="inlineStr">
        <is>
          <t>Tra cứu nhật ký kiểm toán</t>
        </is>
      </c>
      <c r="C321" s="10" t="inlineStr">
        <is>
          <t>Luồng ngoại lệ</t>
        </is>
      </c>
      <c r="D321" s="10" t="inlineStr">
        <is>
          <t>E2</t>
        </is>
      </c>
      <c r="E321" s="10" t="inlineStr">
        <is>
          <t>Không phải ADMIN: không thấy mục menu; truy cập trực tiếp URL nhận `403`.</t>
        </is>
      </c>
    </row>
    <row r="322">
      <c r="A322" s="10" t="inlineStr">
        <is>
          <t>UC-AUD-01</t>
        </is>
      </c>
      <c r="B322" s="10" t="inlineStr">
        <is>
          <t>Tra cứu nhật ký kiểm toán</t>
        </is>
      </c>
      <c r="C322" s="10" t="inlineStr">
        <is>
          <t>Luồng ngoại lệ</t>
        </is>
      </c>
      <c r="D322" s="10" t="inlineStr">
        <is>
          <t>E3</t>
        </is>
      </c>
      <c r="E322" s="10" t="inlineStr">
        <is>
          <t>Không có kết quả: hiển thị trạng thái rỗng kèm gợi ý nới lỏng bộ lọc.</t>
        </is>
      </c>
    </row>
    <row r="323">
      <c r="A323" s="10" t="inlineStr">
        <is>
          <t>UC-AUD-01</t>
        </is>
      </c>
      <c r="B323" s="10" t="inlineStr">
        <is>
          <t>Tra cứu nhật ký kiểm toán</t>
        </is>
      </c>
      <c r="C323" s="10" t="inlineStr">
        <is>
          <t>Luồng ngoại lệ</t>
        </is>
      </c>
      <c r="D323" s="10" t="inlineStr">
        <is>
          <t>E4</t>
        </is>
      </c>
      <c r="E323" s="10" t="inlineStr">
        <is>
          <t>Phát hiện chuỗi băm gãy: hiển thị cảnh báo đỏ và hướng dẫn liên hệ đội bảo mật.</t>
        </is>
      </c>
    </row>
    <row r="324">
      <c r="A324" s="10" t="inlineStr">
        <is>
          <t>UC-GW-01</t>
        </is>
      </c>
      <c r="B324" s="10" t="inlineStr">
        <is>
          <t>Cấu hình hệ thống</t>
        </is>
      </c>
      <c r="C324" s="10" t="inlineStr">
        <is>
          <t>Luồng chính</t>
        </is>
      </c>
      <c r="D324" s="10" t="inlineStr">
        <is>
          <t>B1</t>
        </is>
      </c>
      <c r="E324" s="10" t="inlineStr">
        <is>
          <t>Frontend gọi `GET /api/v1/system-config`; gateway tổng hợp dữ liệu từ các service sở hữu.</t>
        </is>
      </c>
    </row>
    <row r="325">
      <c r="A325" s="10" t="inlineStr">
        <is>
          <t>UC-GW-01</t>
        </is>
      </c>
      <c r="B325" s="10" t="inlineStr">
        <is>
          <t>Cấu hình hệ thống</t>
        </is>
      </c>
      <c r="C325" s="10" t="inlineStr">
        <is>
          <t>Luồng chính</t>
        </is>
      </c>
      <c r="D325" s="10" t="inlineStr">
        <is>
          <t>B2</t>
        </is>
      </c>
      <c r="E325" s="10" t="inlineStr">
        <is>
          <t>Hệ thống hiển thị 4 nhóm: Giám sát, Ngưỡng cảnh báo, Email/SMTP, Báo cáo hằng ngày, cùng trạng thái phụ thuộc (DB, RabbitMQ, Redis, SMTP).</t>
        </is>
      </c>
    </row>
    <row r="326">
      <c r="A326" s="10" t="inlineStr">
        <is>
          <t>UC-GW-01</t>
        </is>
      </c>
      <c r="B326" s="10" t="inlineStr">
        <is>
          <t>Cấu hình hệ thống</t>
        </is>
      </c>
      <c r="C326" s="10" t="inlineStr">
        <is>
          <t>Luồng chính</t>
        </is>
      </c>
      <c r="D326" s="10" t="inlineStr">
        <is>
          <t>B3</t>
        </is>
      </c>
      <c r="E326" s="10" t="inlineStr">
        <is>
          <t>ADMIN chỉnh một nhóm và bấm “Lưu” của riêng nhóm đó.</t>
        </is>
      </c>
    </row>
    <row r="327">
      <c r="A327" s="10" t="inlineStr">
        <is>
          <t>UC-GW-01</t>
        </is>
      </c>
      <c r="B327" s="10" t="inlineStr">
        <is>
          <t>Cấu hình hệ thống</t>
        </is>
      </c>
      <c r="C327" s="10" t="inlineStr">
        <is>
          <t>Luồng chính</t>
        </is>
      </c>
      <c r="D327" s="10" t="inlineStr">
        <is>
          <t>B4</t>
        </is>
      </c>
      <c r="E327" s="10" t="inlineStr">
        <is>
          <t>Frontend validate, hiển thị hộp thoại xác nhận với thay đổi nhạy cảm (tắt scheduler, đổi ngưỡng).</t>
        </is>
      </c>
    </row>
    <row r="328">
      <c r="A328" s="10" t="inlineStr">
        <is>
          <t>UC-GW-01</t>
        </is>
      </c>
      <c r="B328" s="10" t="inlineStr">
        <is>
          <t>Cấu hình hệ thống</t>
        </is>
      </c>
      <c r="C328" s="10" t="inlineStr">
        <is>
          <t>Luồng chính</t>
        </is>
      </c>
      <c r="D328" s="10" t="inlineStr">
        <is>
          <t>B5</t>
        </is>
      </c>
      <c r="E328" s="10" t="inlineStr">
        <is>
          <t>Gọi endpoint tương ứng (`/system-config/scheduler`, `/threshold-policies/global`, `/system-config/smtp`, `/system-config/daily-report`).</t>
        </is>
      </c>
    </row>
    <row r="329">
      <c r="A329" s="10" t="inlineStr">
        <is>
          <t>UC-GW-01</t>
        </is>
      </c>
      <c r="B329" s="10" t="inlineStr">
        <is>
          <t>Cấu hình hệ thống</t>
        </is>
      </c>
      <c r="C329" s="10" t="inlineStr">
        <is>
          <t>Luồng chính</t>
        </is>
      </c>
      <c r="D329" s="10" t="inlineStr">
        <is>
          <t>B6</t>
        </is>
      </c>
      <c r="E329" s="10" t="inlineStr">
        <is>
          <t>Service sở hữu validate nghiệp vụ, lưu, áp dụng ngay (không cần khởi động lại).</t>
        </is>
      </c>
    </row>
    <row r="330">
      <c r="A330" s="10" t="inlineStr">
        <is>
          <t>UC-GW-01</t>
        </is>
      </c>
      <c r="B330" s="10" t="inlineStr">
        <is>
          <t>Cấu hình hệ thống</t>
        </is>
      </c>
      <c r="C330" s="10" t="inlineStr">
        <is>
          <t>Luồng chính</t>
        </is>
      </c>
      <c r="D330" s="10" t="inlineStr">
        <is>
          <t>B7</t>
        </is>
      </c>
      <c r="E330" s="10" t="inlineStr">
        <is>
          <t>Audit ghi lại giá trị trước/sau; frontend hiện toast và cập nhật giá trị từ response.</t>
        </is>
      </c>
    </row>
    <row r="331">
      <c r="A331" s="10" t="inlineStr">
        <is>
          <t>UC-GW-01</t>
        </is>
      </c>
      <c r="B331" s="10" t="inlineStr">
        <is>
          <t>Cấu hình hệ thống</t>
        </is>
      </c>
      <c r="C331" s="10" t="inlineStr">
        <is>
          <t>Luồng thay thế</t>
        </is>
      </c>
      <c r="D331" s="10" t="inlineStr">
        <is>
          <t>A1</t>
        </is>
      </c>
      <c r="E331" s="10" t="inlineStr">
        <is>
          <t>Kiểm tra SMTP trước khi lưu: ADMIN bấm “Kiểm tra kết nối SMTP”; chỉ lưu khi thành công (hoặc xác nhận lưu kèm cảnh báo).</t>
        </is>
      </c>
    </row>
    <row r="332">
      <c r="A332" s="10" t="inlineStr">
        <is>
          <t>UC-GW-01</t>
        </is>
      </c>
      <c r="B332" s="10" t="inlineStr">
        <is>
          <t>Cấu hình hệ thống</t>
        </is>
      </c>
      <c r="C332" s="10" t="inlineStr">
        <is>
          <t>Luồng thay thế</t>
        </is>
      </c>
      <c r="D332" s="10" t="inlineStr">
        <is>
          <t>A2</t>
        </is>
      </c>
      <c r="E332" s="10" t="inlineStr">
        <is>
          <t>Tắt scheduler khẩn cấp: xác nhận hai bước; Dashboard hiển thị “Giám sát đang tạm dừng”.</t>
        </is>
      </c>
    </row>
    <row r="333">
      <c r="A333" s="10" t="inlineStr">
        <is>
          <t>UC-GW-01</t>
        </is>
      </c>
      <c r="B333" s="10" t="inlineStr">
        <is>
          <t>Cấu hình hệ thống</t>
        </is>
      </c>
      <c r="C333" s="10" t="inlineStr">
        <is>
          <t>Luồng ngoại lệ</t>
        </is>
      </c>
      <c r="D333" s="10" t="inlineStr">
        <is>
          <t>E1</t>
        </is>
      </c>
      <c r="E333" s="10" t="inlineStr">
        <is>
          <t>Giá trị không hợp lệ (chu kỳ 10 giây, `warning ≥ critical`): `400` kèm lỗi theo field.</t>
        </is>
      </c>
    </row>
    <row r="334">
      <c r="A334" s="10" t="inlineStr">
        <is>
          <t>UC-GW-01</t>
        </is>
      </c>
      <c r="B334" s="10" t="inlineStr">
        <is>
          <t>Cấu hình hệ thống</t>
        </is>
      </c>
      <c r="C334" s="10" t="inlineStr">
        <is>
          <t>Luồng ngoại lệ</t>
        </is>
      </c>
      <c r="D334" s="10" t="inlineStr">
        <is>
          <t>E2</t>
        </is>
      </c>
      <c r="E334" s="10" t="inlineStr">
        <is>
          <t>Một service phụ thuộc không phản hồi: nhóm cấu hình đó hiển thị “Không tải được”, các nhóm khác vẫn dùng bình thường.</t>
        </is>
      </c>
    </row>
    <row r="335">
      <c r="A335" s="10" t="inlineStr">
        <is>
          <t>UC-GW-01</t>
        </is>
      </c>
      <c r="B335" s="10" t="inlineStr">
        <is>
          <t>Cấu hình hệ thống</t>
        </is>
      </c>
      <c r="C335" s="10" t="inlineStr">
        <is>
          <t>Luồng ngoại lệ</t>
        </is>
      </c>
      <c r="D335" s="10" t="inlineStr">
        <is>
          <t>E3</t>
        </is>
      </c>
      <c r="E335" s="10" t="inlineStr">
        <is>
          <t>Vai trò bị đổi giữa chừng: `403` ⇒ chuyển về Dashboard kèm thông báo.</t>
        </is>
      </c>
    </row>
    <row r="336">
      <c r="A336" s="10" t="inlineStr">
        <is>
          <t>UC-GW-01</t>
        </is>
      </c>
      <c r="B336" s="10" t="inlineStr">
        <is>
          <t>Cấu hình hệ thống</t>
        </is>
      </c>
      <c r="C336" s="10" t="inlineStr">
        <is>
          <t>Luồng ngoại lệ</t>
        </is>
      </c>
      <c r="D336" s="10" t="inlineStr">
        <is>
          <t>E4</t>
        </is>
      </c>
      <c r="E336" s="10" t="inlineStr">
        <is>
          <t>Hai ADMIN sửa cùng lúc: `409`, yêu cầu tải lại.</t>
        </is>
      </c>
    </row>
    <row r="337">
      <c r="A337" s="10" t="inlineStr">
        <is>
          <t>UC-GW-02</t>
        </is>
      </c>
      <c r="B337" s="10" t="inlineStr">
        <is>
          <t>Chặn truy cập trái phép</t>
        </is>
      </c>
      <c r="C337" s="10" t="inlineStr">
        <is>
          <t>Luồng chính</t>
        </is>
      </c>
      <c r="D337" s="10" t="inlineStr">
        <is>
          <t>B1</t>
        </is>
      </c>
      <c r="E337" s="10" t="inlineStr">
        <is>
          <t>Gateway nhận request, sinh hoặc nhận `X-Correlation-Id`, xóa các header nhận dạng do client tự gắn.</t>
        </is>
      </c>
    </row>
    <row r="338">
      <c r="A338" s="10" t="inlineStr">
        <is>
          <t>UC-GW-02</t>
        </is>
      </c>
      <c r="B338" s="10" t="inlineStr">
        <is>
          <t>Chặn truy cập trái phép</t>
        </is>
      </c>
      <c r="C338" s="10" t="inlineStr">
        <is>
          <t>Luồng chính</t>
        </is>
      </c>
      <c r="D338" s="10" t="inlineStr">
        <is>
          <t>B2</t>
        </is>
      </c>
      <c r="E338" s="10" t="inlineStr">
        <is>
          <t>Kiểm tra route có được khai báo không; không có ⇒ `404` (deny by default).</t>
        </is>
      </c>
    </row>
    <row r="339">
      <c r="A339" s="10" t="inlineStr">
        <is>
          <t>UC-GW-02</t>
        </is>
      </c>
      <c r="B339" s="10" t="inlineStr">
        <is>
          <t>Chặn truy cập trái phép</t>
        </is>
      </c>
      <c r="C339" s="10" t="inlineStr">
        <is>
          <t>Luồng chính</t>
        </is>
      </c>
      <c r="D339" s="10" t="inlineStr">
        <is>
          <t>B3</t>
        </is>
      </c>
      <c r="E339" s="10" t="inlineStr">
        <is>
          <t>Kiểm tra CORS với origin trong danh sách cho phép.</t>
        </is>
      </c>
    </row>
    <row r="340">
      <c r="A340" s="10" t="inlineStr">
        <is>
          <t>UC-GW-02</t>
        </is>
      </c>
      <c r="B340" s="10" t="inlineStr">
        <is>
          <t>Chặn truy cập trái phép</t>
        </is>
      </c>
      <c r="C340" s="10" t="inlineStr">
        <is>
          <t>Luồng chính</t>
        </is>
      </c>
      <c r="D340" s="10" t="inlineStr">
        <is>
          <t>B4</t>
        </is>
      </c>
      <c r="E340" s="10" t="inlineStr">
        <is>
          <t>Kiểm tra rate limit theo policy tương ứng.</t>
        </is>
      </c>
    </row>
    <row r="341">
      <c r="A341" s="10" t="inlineStr">
        <is>
          <t>UC-GW-02</t>
        </is>
      </c>
      <c r="B341" s="10" t="inlineStr">
        <is>
          <t>Chặn truy cập trái phép</t>
        </is>
      </c>
      <c r="C341" s="10" t="inlineStr">
        <is>
          <t>Luồng chính</t>
        </is>
      </c>
      <c r="D341" s="10" t="inlineStr">
        <is>
          <t>B5</t>
        </is>
      </c>
      <c r="E341" s="10" t="inlineStr">
        <is>
          <t>Xác thực JWT: chữ ký RS256 theo JWKS, `iss`, `aud`, `exp`, thuật toán hợp lệ.</t>
        </is>
      </c>
    </row>
    <row r="342">
      <c r="A342" s="10" t="inlineStr">
        <is>
          <t>UC-GW-02</t>
        </is>
      </c>
      <c r="B342" s="10" t="inlineStr">
        <is>
          <t>Chặn truy cập trái phép</t>
        </is>
      </c>
      <c r="C342" s="10" t="inlineStr">
        <is>
          <t>Luồng chính</t>
        </is>
      </c>
      <c r="D342" s="10" t="inlineStr">
        <is>
          <t>B6</t>
        </is>
      </c>
      <c r="E342" s="10" t="inlineStr">
        <is>
          <t>Kiểm tra policy phân quyền của route (`ViewerOrAbove` / `OperatorOrAbove` / `AdminOnly`).</t>
        </is>
      </c>
    </row>
    <row r="343">
      <c r="A343" s="10" t="inlineStr">
        <is>
          <t>UC-GW-02</t>
        </is>
      </c>
      <c r="B343" s="10" t="inlineStr">
        <is>
          <t>Chặn truy cập trái phép</t>
        </is>
      </c>
      <c r="C343" s="10" t="inlineStr">
        <is>
          <t>Luồng chính</t>
        </is>
      </c>
      <c r="D343" s="10" t="inlineStr">
        <is>
          <t>B7</t>
        </is>
      </c>
      <c r="E343" s="10" t="inlineStr">
        <is>
          <t>Gắn `X-User-Id`, `X-User-Role` lấy từ token và chuyển tiếp tới service; service kiểm tra lại quyền.</t>
        </is>
      </c>
    </row>
    <row r="344">
      <c r="A344" s="10" t="inlineStr">
        <is>
          <t>UC-GW-02</t>
        </is>
      </c>
      <c r="B344" s="10" t="inlineStr">
        <is>
          <t>Chặn truy cập trái phép</t>
        </is>
      </c>
      <c r="C344" s="10" t="inlineStr">
        <is>
          <t>Luồng chính</t>
        </is>
      </c>
      <c r="D344" s="10" t="inlineStr">
        <is>
          <t>B8</t>
        </is>
      </c>
      <c r="E344" s="10" t="inlineStr">
        <is>
          <t>Ghi log truy cập có cấu trúc (không ghi body, không ghi token).</t>
        </is>
      </c>
    </row>
    <row r="345">
      <c r="A345" s="10" t="inlineStr">
        <is>
          <t>UC-GW-02</t>
        </is>
      </c>
      <c r="B345" s="10" t="inlineStr">
        <is>
          <t>Chặn truy cập trái phép</t>
        </is>
      </c>
      <c r="C345" s="10" t="inlineStr">
        <is>
          <t>Luồng ngoại lệ</t>
        </is>
      </c>
      <c r="D345" s="10" t="inlineStr">
        <is>
          <t>E1</t>
        </is>
      </c>
      <c r="E345" s="10" t="inlineStr">
        <is>
          <t>Thiếu/sai token: `401` + `ProblemDetails`, không tiết lộ lý do chi tiết.</t>
        </is>
      </c>
    </row>
    <row r="346">
      <c r="A346" s="10" t="inlineStr">
        <is>
          <t>UC-GW-02</t>
        </is>
      </c>
      <c r="B346" s="10" t="inlineStr">
        <is>
          <t>Chặn truy cập trái phép</t>
        </is>
      </c>
      <c r="C346" s="10" t="inlineStr">
        <is>
          <t>Luồng ngoại lệ</t>
        </is>
      </c>
      <c r="D346" s="10" t="inlineStr">
        <is>
          <t>E2</t>
        </is>
      </c>
      <c r="E346" s="10" t="inlineStr">
        <is>
          <t>Token bị sửa chữ ký, `alg=none`, hoặc đổi sang HS256: từ chối `401`; ghi sự kiện bảo mật.</t>
        </is>
      </c>
    </row>
    <row r="347">
      <c r="A347" s="10" t="inlineStr">
        <is>
          <t>UC-GW-02</t>
        </is>
      </c>
      <c r="B347" s="10" t="inlineStr">
        <is>
          <t>Chặn truy cập trái phép</t>
        </is>
      </c>
      <c r="C347" s="10" t="inlineStr">
        <is>
          <t>Luồng ngoại lệ</t>
        </is>
      </c>
      <c r="D347" s="10" t="inlineStr">
        <is>
          <t>E3</t>
        </is>
      </c>
      <c r="E347" s="10" t="inlineStr">
        <is>
          <t>Token hợp lệ nhưng sai vai trò: `403 SOE-GW-403` “Bạn không có quyền thực hiện thao tác này.”</t>
        </is>
      </c>
    </row>
    <row r="348">
      <c r="A348" s="10" t="inlineStr">
        <is>
          <t>UC-GW-02</t>
        </is>
      </c>
      <c r="B348" s="10" t="inlineStr">
        <is>
          <t>Chặn truy cập trái phép</t>
        </is>
      </c>
      <c r="C348" s="10" t="inlineStr">
        <is>
          <t>Luồng ngoại lệ</t>
        </is>
      </c>
      <c r="D348" s="10" t="inlineStr">
        <is>
          <t>E4</t>
        </is>
      </c>
      <c r="E348" s="10" t="inlineStr">
        <is>
          <t>Vượt rate limit: `429` + `Retry-After`; vượt liên tục ⇒ ghi audit cảnh báo.</t>
        </is>
      </c>
    </row>
    <row r="349">
      <c r="A349" s="10" t="inlineStr">
        <is>
          <t>UC-GW-02</t>
        </is>
      </c>
      <c r="B349" s="10" t="inlineStr">
        <is>
          <t>Chặn truy cập trái phép</t>
        </is>
      </c>
      <c r="C349" s="10" t="inlineStr">
        <is>
          <t>Luồng ngoại lệ</t>
        </is>
      </c>
      <c r="D349" s="10" t="inlineStr">
        <is>
          <t>E5</t>
        </is>
      </c>
      <c r="E349" s="10" t="inlineStr">
        <is>
          <t>Body vượt 1 MB: `413`.</t>
        </is>
      </c>
    </row>
    <row r="350">
      <c r="A350" s="10" t="inlineStr">
        <is>
          <t>UC-GW-02</t>
        </is>
      </c>
      <c r="B350" s="10" t="inlineStr">
        <is>
          <t>Chặn truy cập trái phép</t>
        </is>
      </c>
      <c r="C350" s="10" t="inlineStr">
        <is>
          <t>Luồng ngoại lệ</t>
        </is>
      </c>
      <c r="D350" s="10" t="inlineStr">
        <is>
          <t>E6</t>
        </is>
      </c>
      <c r="E350" s="10" t="inlineStr">
        <is>
          <t>Service đích không sẵn sàng: `503`/`504` chuẩn hóa, không lộ tên service hay stack trace.</t>
        </is>
      </c>
    </row>
    <row r="351">
      <c r="A351" s="10" t="inlineStr">
        <is>
          <t>UC-GW-02</t>
        </is>
      </c>
      <c r="B351" s="10" t="inlineStr">
        <is>
          <t>Chặn truy cập trái phép</t>
        </is>
      </c>
      <c r="C351" s="10" t="inlineStr">
        <is>
          <t>Luồng ngoại lệ</t>
        </is>
      </c>
      <c r="D351" s="10" t="inlineStr">
        <is>
          <t>E7</t>
        </is>
      </c>
      <c r="E351" s="10" t="inlineStr">
        <is>
          <t>Client tự gắn `X-User-Role: ADMIN`: header bị xóa ở bước 1 ⇒ không có tác dụng nâng quyền.</t>
        </is>
      </c>
    </row>
  </sheetData>
  <autoFilter ref="A1:E3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16" customWidth="1" min="3" max="3"/>
    <col width="22" customWidth="1" min="4" max="4"/>
    <col width="34" customWidth="1" min="5" max="5"/>
    <col width="28" customWidth="1" min="6" max="6"/>
    <col width="40" customWidth="1" min="7" max="7"/>
    <col width="30" customWidth="1" min="8" max="8"/>
    <col width="46" customWidth="1" min="9" max="9"/>
    <col width="13" customWidth="1" min="10" max="10"/>
    <col width="12" customWidth="1" min="11" max="11"/>
    <col width="20" customWidth="1" min="12" max="12"/>
    <col width="12" customWidth="1" min="13" max="13"/>
    <col width="26" customWidth="1" min="14" max="14"/>
    <col width="12" customWidth="1" min="15" max="15"/>
    <col width="11" customWidth="1" min="16" max="16"/>
  </cols>
  <sheetData>
    <row r="1" ht="32" customHeight="1">
      <c r="A1" s="3" t="inlineStr">
        <is>
          <t>STT</t>
        </is>
      </c>
      <c r="B1" s="3" t="inlineStr">
        <is>
          <t>Mã TC</t>
        </is>
      </c>
      <c r="C1" s="3" t="inlineStr">
        <is>
          <t>Phân hệ</t>
        </is>
      </c>
      <c r="D1" s="3" t="inlineStr">
        <is>
          <t>Nhóm / Tầng</t>
        </is>
      </c>
      <c r="E1" s="3" t="inlineStr">
        <is>
          <t>Kịch bản kiểm thử</t>
        </is>
      </c>
      <c r="F1" s="3" t="inlineStr">
        <is>
          <t>Điều kiện tiên quyết</t>
        </is>
      </c>
      <c r="G1" s="3" t="inlineStr">
        <is>
          <t>Các bước thực hiện</t>
        </is>
      </c>
      <c r="H1" s="3" t="inlineStr">
        <is>
          <t>Dữ liệu kiểm thử</t>
        </is>
      </c>
      <c r="I1" s="3" t="inlineStr">
        <is>
          <t>Kết quả mong đợi</t>
        </is>
      </c>
      <c r="J1" s="3" t="inlineStr">
        <is>
          <t>Loại</t>
        </is>
      </c>
      <c r="K1" s="3" t="inlineStr">
        <is>
          <t>Ưu tiên</t>
        </is>
      </c>
      <c r="L1" s="3" t="inlineStr">
        <is>
          <t>Truy vết (FR/BR/UC)</t>
        </is>
      </c>
      <c r="M1" s="3" t="inlineStr">
        <is>
          <t>Trạng thái</t>
        </is>
      </c>
      <c r="N1" s="3" t="inlineStr">
        <is>
          <t>Kết quả thực tế</t>
        </is>
      </c>
      <c r="O1" s="3" t="inlineStr">
        <is>
          <t>Người test</t>
        </is>
      </c>
      <c r="P1" s="3" t="inlineStr">
        <is>
          <t>Ngày test</t>
        </is>
      </c>
    </row>
    <row r="2">
      <c r="A2" s="10" t="n">
        <v>1</v>
      </c>
      <c r="B2" s="10" t="inlineStr">
        <is>
          <t>TC-CON-001</t>
        </is>
      </c>
      <c r="C2" s="10" t="inlineStr">
        <is>
          <t>Messaging &amp; Contract</t>
        </is>
      </c>
      <c r="D2" s="10" t="inlineStr">
        <is>
          <t>Hợp đồng thông điệp (schema) — Hợp đồng thông điệp (schema)</t>
        </is>
      </c>
      <c r="E2" s="10" t="inlineStr">
        <is>
          <t>Snapshot schema mọi contract</t>
        </is>
      </c>
      <c r="F2" s="10" t="inlineStr"/>
      <c r="G2" s="10" t="inlineStr">
        <is>
          <t>Sinh JSON schema cho tất cả type trong `SOE.Contracts` và so với bản đã lưu</t>
        </is>
      </c>
      <c r="H2" s="10" t="inlineStr"/>
      <c r="I2" s="10" t="inlineStr">
        <is>
          <t>Không sai khác; thay đổi phá vỡ tương thích làm CI đỏ</t>
        </is>
      </c>
      <c r="J2" s="10" t="inlineStr"/>
      <c r="K2" s="10" t="inlineStr">
        <is>
          <t>P1 - Cao</t>
        </is>
      </c>
      <c r="L2" s="10" t="inlineStr">
        <is>
          <t>R5</t>
        </is>
      </c>
      <c r="M2" s="11" t="inlineStr">
        <is>
          <t>Chưa chạy</t>
        </is>
      </c>
      <c r="N2" s="11" t="inlineStr"/>
      <c r="O2" s="11" t="inlineStr"/>
      <c r="P2" s="11" t="inlineStr"/>
    </row>
    <row r="3">
      <c r="A3" s="10" t="n">
        <v>2</v>
      </c>
      <c r="B3" s="10" t="inlineStr">
        <is>
          <t>TC-CON-002</t>
        </is>
      </c>
      <c r="C3" s="10" t="inlineStr">
        <is>
          <t>Messaging &amp; Contract</t>
        </is>
      </c>
      <c r="D3" s="10" t="inlineStr">
        <is>
          <t>Hợp đồng thông điệp (schema) — Hợp đồng thông điệp (schema)</t>
        </is>
      </c>
      <c r="E3" s="10" t="inlineStr">
        <is>
          <t>Trường bắt buộc</t>
        </is>
      </c>
      <c r="F3" s="10" t="inlineStr"/>
      <c r="G3" s="10" t="inlineStr">
        <is>
          <t>Deserialize message thiếu `nodeId`</t>
        </is>
      </c>
      <c r="H3" s="10" t="inlineStr"/>
      <c r="I3" s="10" t="inlineStr">
        <is>
          <t>Thất bại với lỗi rõ ràng, message vào `_skipped` (không retry vô hạn)</t>
        </is>
      </c>
      <c r="J3" s="10" t="inlineStr"/>
      <c r="K3" s="10" t="inlineStr">
        <is>
          <t>P1 - Cao</t>
        </is>
      </c>
      <c r="L3" s="10" t="inlineStr">
        <is>
          <t>§4.3</t>
        </is>
      </c>
      <c r="M3" s="11" t="inlineStr">
        <is>
          <t>Chưa chạy</t>
        </is>
      </c>
      <c r="N3" s="11" t="inlineStr"/>
      <c r="O3" s="11" t="inlineStr"/>
      <c r="P3" s="11" t="inlineStr"/>
    </row>
    <row r="4">
      <c r="A4" s="10" t="n">
        <v>3</v>
      </c>
      <c r="B4" s="10" t="inlineStr">
        <is>
          <t>TC-CON-003</t>
        </is>
      </c>
      <c r="C4" s="10" t="inlineStr">
        <is>
          <t>Messaging &amp; Contract</t>
        </is>
      </c>
      <c r="D4" s="10" t="inlineStr">
        <is>
          <t>Hợp đồng thông điệp (schema) — Hợp đồng thông điệp (schema)</t>
        </is>
      </c>
      <c r="E4" s="10" t="inlineStr">
        <is>
          <t>Thêm trường tùy chọn</t>
        </is>
      </c>
      <c r="F4" s="10" t="inlineStr"/>
      <c r="G4" s="10" t="inlineStr">
        <is>
          <t>Producer gửi `V1` có thêm trường nullable mới</t>
        </is>
      </c>
      <c r="H4" s="10" t="inlineStr"/>
      <c r="I4" s="10" t="inlineStr">
        <is>
          <t>Consumer cũ vẫn xử lý bình thường</t>
        </is>
      </c>
      <c r="J4" s="10" t="inlineStr"/>
      <c r="K4" s="10" t="inlineStr">
        <is>
          <t>P1 - Cao</t>
        </is>
      </c>
      <c r="L4" s="10" t="inlineStr">
        <is>
          <t>R2</t>
        </is>
      </c>
      <c r="M4" s="11" t="inlineStr">
        <is>
          <t>Chưa chạy</t>
        </is>
      </c>
      <c r="N4" s="11" t="inlineStr"/>
      <c r="O4" s="11" t="inlineStr"/>
      <c r="P4" s="11" t="inlineStr"/>
    </row>
    <row r="5">
      <c r="A5" s="10" t="n">
        <v>4</v>
      </c>
      <c r="B5" s="10" t="inlineStr">
        <is>
          <t>TC-CON-004</t>
        </is>
      </c>
      <c r="C5" s="10" t="inlineStr">
        <is>
          <t>Messaging &amp; Contract</t>
        </is>
      </c>
      <c r="D5" s="10" t="inlineStr">
        <is>
          <t>Hợp đồng thông điệp (schema) — Hợp đồng thông điệp (schema)</t>
        </is>
      </c>
      <c r="E5" s="10" t="inlineStr">
        <is>
          <t>Song song V1 và V2</t>
        </is>
      </c>
      <c r="F5" s="10" t="inlineStr"/>
      <c r="G5" s="10" t="inlineStr">
        <is>
          <t>Publish cả hai phiên bản</t>
        </is>
      </c>
      <c r="H5" s="10" t="inlineStr"/>
      <c r="I5" s="10" t="inlineStr">
        <is>
          <t>Consumer tương ứng nhận đúng phiên bản, không nhầm lẫn</t>
        </is>
      </c>
      <c r="J5" s="10" t="inlineStr"/>
      <c r="K5" s="10" t="inlineStr">
        <is>
          <t>P2 - Trung bình</t>
        </is>
      </c>
      <c r="L5" s="10" t="inlineStr">
        <is>
          <t>R3</t>
        </is>
      </c>
      <c r="M5" s="11" t="inlineStr">
        <is>
          <t>Chưa chạy</t>
        </is>
      </c>
      <c r="N5" s="11" t="inlineStr"/>
      <c r="O5" s="11" t="inlineStr"/>
      <c r="P5" s="11" t="inlineStr"/>
    </row>
    <row r="6">
      <c r="A6" s="10" t="n">
        <v>5</v>
      </c>
      <c r="B6" s="10" t="inlineStr">
        <is>
          <t>TC-CON-005</t>
        </is>
      </c>
      <c r="C6" s="10" t="inlineStr">
        <is>
          <t>Messaging &amp; Contract</t>
        </is>
      </c>
      <c r="D6" s="10" t="inlineStr">
        <is>
          <t>Hợp đồng thông điệp (schema) — Hợp đồng thông điệp (schema)</t>
        </is>
      </c>
      <c r="E6" s="10" t="inlineStr">
        <is>
          <t>Thời gian là UTC</t>
        </is>
      </c>
      <c r="F6" s="10" t="inlineStr"/>
      <c r="G6" s="10" t="inlineStr">
        <is>
          <t>Kiểm tra mọi trường thời gian trong contract</t>
        </is>
      </c>
      <c r="H6" s="10" t="inlineStr"/>
      <c r="I6" s="10" t="inlineStr">
        <is>
          <t>Kiểu `DateTimeOffset`, giá trị UTC, serialize ISO-8601</t>
        </is>
      </c>
      <c r="J6" s="10" t="inlineStr"/>
      <c r="K6" s="10" t="inlineStr">
        <is>
          <t>P1 - Cao</t>
        </is>
      </c>
      <c r="L6" s="10" t="inlineStr">
        <is>
          <t>Quy ước §5</t>
        </is>
      </c>
      <c r="M6" s="11" t="inlineStr">
        <is>
          <t>Chưa chạy</t>
        </is>
      </c>
      <c r="N6" s="11" t="inlineStr"/>
      <c r="O6" s="11" t="inlineStr"/>
      <c r="P6" s="11" t="inlineStr"/>
    </row>
    <row r="7">
      <c r="A7" s="10" t="n">
        <v>6</v>
      </c>
      <c r="B7" s="10" t="inlineStr">
        <is>
          <t>TC-CON-006</t>
        </is>
      </c>
      <c r="C7" s="10" t="inlineStr">
        <is>
          <t>Messaging &amp; Contract</t>
        </is>
      </c>
      <c r="D7" s="10" t="inlineStr">
        <is>
          <t>Hợp đồng thông điệp (schema) — Hợp đồng thông điệp (schema)</t>
        </is>
      </c>
      <c r="E7" s="10" t="inlineStr">
        <is>
          <t>Không mang bí mật</t>
        </is>
      </c>
      <c r="F7" s="10" t="inlineStr"/>
      <c r="G7" s="10" t="inlineStr">
        <is>
          <t>Rà soát mọi contract</t>
        </is>
      </c>
      <c r="H7" s="10" t="inlineStr"/>
      <c r="I7" s="10" t="inlineStr">
        <is>
          <t>Không có trường credential/token/secret</t>
        </is>
      </c>
      <c r="J7" s="10" t="inlineStr"/>
      <c r="K7" s="10" t="inlineStr">
        <is>
          <t>P1 - Cao</t>
        </is>
      </c>
      <c r="L7" s="10" t="inlineStr">
        <is>
          <t>§6, ADR-04</t>
        </is>
      </c>
      <c r="M7" s="11" t="inlineStr">
        <is>
          <t>Chưa chạy</t>
        </is>
      </c>
      <c r="N7" s="11" t="inlineStr"/>
      <c r="O7" s="11" t="inlineStr"/>
      <c r="P7" s="11" t="inlineStr"/>
    </row>
    <row r="8">
      <c r="A8" s="10" t="n">
        <v>7</v>
      </c>
      <c r="B8" s="10" t="inlineStr">
        <is>
          <t>TC-CON-007</t>
        </is>
      </c>
      <c r="C8" s="10" t="inlineStr">
        <is>
          <t>Messaging &amp; Contract</t>
        </is>
      </c>
      <c r="D8" s="10" t="inlineStr">
        <is>
          <t>Hợp đồng thông điệp (schema) — Hợp đồng thông điệp (schema)</t>
        </is>
      </c>
      <c r="E8" s="10" t="inlineStr">
        <is>
          <t>Kích thước message</t>
        </is>
      </c>
      <c r="F8" s="10" t="inlineStr"/>
      <c r="G8" s="10" t="inlineStr">
        <is>
          <t>Sinh message lớn nhất có thể (mô tả dài nhất)</t>
        </is>
      </c>
      <c r="H8" s="10" t="inlineStr"/>
      <c r="I8" s="10" t="inlineStr">
        <is>
          <t>≤ 256 KB</t>
        </is>
      </c>
      <c r="J8" s="10" t="inlineStr"/>
      <c r="K8" s="10" t="inlineStr">
        <is>
          <t>P2 - Trung bình</t>
        </is>
      </c>
      <c r="L8" s="10" t="inlineStr">
        <is>
          <t>§6</t>
        </is>
      </c>
      <c r="M8" s="11" t="inlineStr">
        <is>
          <t>Chưa chạy</t>
        </is>
      </c>
      <c r="N8" s="11" t="inlineStr"/>
      <c r="O8" s="11" t="inlineStr"/>
      <c r="P8" s="11" t="inlineStr"/>
    </row>
    <row r="9">
      <c r="A9" s="10" t="n">
        <v>8</v>
      </c>
      <c r="B9" s="10" t="inlineStr">
        <is>
          <t>TC-CON-008</t>
        </is>
      </c>
      <c r="C9" s="10" t="inlineStr">
        <is>
          <t>Messaging &amp; Contract</t>
        </is>
      </c>
      <c r="D9" s="10" t="inlineStr">
        <is>
          <t>Hợp đồng thông điệp (schema) — Hợp đồng thông điệp (schema)</t>
        </is>
      </c>
      <c r="E9" s="10" t="inlineStr">
        <is>
          <t>Đặt tên đúng quy ước</t>
        </is>
      </c>
      <c r="F9" s="10" t="inlineStr"/>
      <c r="G9" s="10" t="inlineStr">
        <is>
          <t>Kiểm tra tên type và queue</t>
        </is>
      </c>
      <c r="H9" s="10" t="inlineStr"/>
      <c r="I9" s="10" t="inlineStr">
        <is>
          <t>Theo bảng quy ước §2</t>
        </is>
      </c>
      <c r="J9" s="10" t="inlineStr"/>
      <c r="K9" s="10" t="inlineStr">
        <is>
          <t>P3 - Thấp</t>
        </is>
      </c>
      <c r="L9" s="10" t="inlineStr">
        <is>
          <t>§2</t>
        </is>
      </c>
      <c r="M9" s="11" t="inlineStr">
        <is>
          <t>Chưa chạy</t>
        </is>
      </c>
      <c r="N9" s="11" t="inlineStr"/>
      <c r="O9" s="11" t="inlineStr"/>
      <c r="P9" s="11" t="inlineStr"/>
    </row>
    <row r="10">
      <c r="A10" s="10" t="n">
        <v>9</v>
      </c>
      <c r="B10" s="10" t="inlineStr">
        <is>
          <t>TC-CON-011</t>
        </is>
      </c>
      <c r="C10" s="10" t="inlineStr">
        <is>
          <t>Messaging &amp; Contract</t>
        </is>
      </c>
      <c r="D10" s="10" t="inlineStr">
        <is>
          <t>Outbox / Inbox / Idempotency — Outbox / Inbox / Idempotency</t>
        </is>
      </c>
      <c r="E10" s="10" t="inlineStr">
        <is>
          <t>Outbox commit cùng transaction</t>
        </is>
      </c>
      <c r="F10" s="10" t="inlineStr"/>
      <c r="G10" s="10" t="inlineStr">
        <is>
          <t>Tạo node thành công</t>
        </is>
      </c>
      <c r="H10" s="10" t="inlineStr"/>
      <c r="I10" s="10" t="inlineStr">
        <is>
          <t>Bản ghi node và bản ghi outbox cùng tồn tại; event được publish sau commit</t>
        </is>
      </c>
      <c r="J10" s="10" t="inlineStr"/>
      <c r="K10" s="10" t="inlineStr">
        <is>
          <t>P1 - Cao</t>
        </is>
      </c>
      <c r="L10" s="10" t="inlineStr">
        <is>
          <t>§4.1</t>
        </is>
      </c>
      <c r="M10" s="11" t="inlineStr">
        <is>
          <t>Chưa chạy</t>
        </is>
      </c>
      <c r="N10" s="11" t="inlineStr"/>
      <c r="O10" s="11" t="inlineStr"/>
      <c r="P10" s="11" t="inlineStr"/>
    </row>
    <row r="11">
      <c r="A11" s="10" t="n">
        <v>10</v>
      </c>
      <c r="B11" s="10" t="inlineStr">
        <is>
          <t>TC-CON-012</t>
        </is>
      </c>
      <c r="C11" s="10" t="inlineStr">
        <is>
          <t>Messaging &amp; Contract</t>
        </is>
      </c>
      <c r="D11" s="10" t="inlineStr">
        <is>
          <t>Outbox / Inbox / Idempotency — Outbox / Inbox / Idempotency</t>
        </is>
      </c>
      <c r="E11" s="10" t="inlineStr">
        <is>
          <t>Rollback không phát event</t>
        </is>
      </c>
      <c r="F11" s="10" t="inlineStr"/>
      <c r="G11" s="10" t="inlineStr">
        <is>
          <t>Ép lỗi sau khi ghi outbox</t>
        </is>
      </c>
      <c r="H11" s="10" t="inlineStr"/>
      <c r="I11" s="10" t="inlineStr">
        <is>
          <t>Không có node, không có event trên broker</t>
        </is>
      </c>
      <c r="J11" s="10" t="inlineStr"/>
      <c r="K11" s="10" t="inlineStr">
        <is>
          <t>P1 - Cao</t>
        </is>
      </c>
      <c r="L11" s="10" t="inlineStr">
        <is>
          <t>NFR-AVL-002</t>
        </is>
      </c>
      <c r="M11" s="11" t="inlineStr">
        <is>
          <t>Chưa chạy</t>
        </is>
      </c>
      <c r="N11" s="11" t="inlineStr"/>
      <c r="O11" s="11" t="inlineStr"/>
      <c r="P11" s="11" t="inlineStr"/>
    </row>
    <row r="12">
      <c r="A12" s="10" t="n">
        <v>11</v>
      </c>
      <c r="B12" s="10" t="inlineStr">
        <is>
          <t>TC-CON-013</t>
        </is>
      </c>
      <c r="C12" s="10" t="inlineStr">
        <is>
          <t>Messaging &amp; Contract</t>
        </is>
      </c>
      <c r="D12" s="10" t="inlineStr">
        <is>
          <t>Outbox / Inbox / Idempotency — Outbox / Inbox / Idempotency</t>
        </is>
      </c>
      <c r="E12" s="10" t="inlineStr">
        <is>
          <t>Broker ngừng khi publish</t>
        </is>
      </c>
      <c r="F12" s="10" t="inlineStr"/>
      <c r="G12" s="10" t="inlineStr">
        <is>
          <t>Dừng RabbitMQ, tạo node, bật lại</t>
        </is>
      </c>
      <c r="H12" s="10" t="inlineStr"/>
      <c r="I12" s="10" t="inlineStr">
        <is>
          <t>Event nằm trong outbox và được phát khi broker trở lại</t>
        </is>
      </c>
      <c r="J12" s="10" t="inlineStr"/>
      <c r="K12" s="10" t="inlineStr">
        <is>
          <t>P1 - Cao</t>
        </is>
      </c>
      <c r="L12" s="10" t="inlineStr">
        <is>
          <t>NFR-AVL-004</t>
        </is>
      </c>
      <c r="M12" s="11" t="inlineStr">
        <is>
          <t>Chưa chạy</t>
        </is>
      </c>
      <c r="N12" s="11" t="inlineStr"/>
      <c r="O12" s="11" t="inlineStr"/>
      <c r="P12" s="11" t="inlineStr"/>
    </row>
    <row r="13">
      <c r="A13" s="10" t="n">
        <v>12</v>
      </c>
      <c r="B13" s="10" t="inlineStr">
        <is>
          <t>TC-CON-014</t>
        </is>
      </c>
      <c r="C13" s="10" t="inlineStr">
        <is>
          <t>Messaging &amp; Contract</t>
        </is>
      </c>
      <c r="D13" s="10" t="inlineStr">
        <is>
          <t>Outbox / Inbox / Idempotency — Outbox / Inbox / Idempotency</t>
        </is>
      </c>
      <c r="E13" s="10" t="inlineStr">
        <is>
          <t>Inbox chống trùng</t>
        </is>
      </c>
      <c r="F13" s="10" t="inlineStr"/>
      <c r="G13" s="10" t="inlineStr">
        <is>
          <t>Gửi cùng `MessageId` 5 lần</t>
        </is>
      </c>
      <c r="H13" s="10" t="inlineStr"/>
      <c r="I13" s="10" t="inlineStr">
        <is>
          <t>Consumer xử lý đúng 1 lần (`InboxState` ghi nhận)</t>
        </is>
      </c>
      <c r="J13" s="10" t="inlineStr"/>
      <c r="K13" s="10" t="inlineStr">
        <is>
          <t>P1 - Cao</t>
        </is>
      </c>
      <c r="L13" s="10" t="inlineStr">
        <is>
          <t>§4.2</t>
        </is>
      </c>
      <c r="M13" s="11" t="inlineStr">
        <is>
          <t>Chưa chạy</t>
        </is>
      </c>
      <c r="N13" s="11" t="inlineStr"/>
      <c r="O13" s="11" t="inlineStr"/>
      <c r="P13" s="11" t="inlineStr"/>
    </row>
    <row r="14">
      <c r="A14" s="10" t="n">
        <v>13</v>
      </c>
      <c r="B14" s="10" t="inlineStr">
        <is>
          <t>TC-CON-015</t>
        </is>
      </c>
      <c r="C14" s="10" t="inlineStr">
        <is>
          <t>Messaging &amp; Contract</t>
        </is>
      </c>
      <c r="D14" s="10" t="inlineStr">
        <is>
          <t>Outbox / Inbox / Idempotency — Outbox / Inbox / Idempotency</t>
        </is>
      </c>
      <c r="E14" s="10" t="inlineStr">
        <is>
          <t>Idempotent theo khóa nghiệp vụ</t>
        </is>
      </c>
      <c r="F14" s="10" t="inlineStr"/>
      <c r="G14" s="10" t="inlineStr">
        <is>
          <t>Gửi 2 message khác `MessageId` nhưng cùng `(nodeId, collectedAt)`</t>
        </is>
      </c>
      <c r="H14" s="10" t="inlineStr"/>
      <c r="I14" s="10" t="inlineStr">
        <is>
          <t>Chỉ một snapshot được lưu (ràng buộc unique)</t>
        </is>
      </c>
      <c r="J14" s="10" t="inlineStr"/>
      <c r="K14" s="10" t="inlineStr">
        <is>
          <t>P1 - Cao</t>
        </is>
      </c>
      <c r="L14" s="10" t="inlineStr">
        <is>
          <t>§4.2</t>
        </is>
      </c>
      <c r="M14" s="11" t="inlineStr">
        <is>
          <t>Chưa chạy</t>
        </is>
      </c>
      <c r="N14" s="11" t="inlineStr"/>
      <c r="O14" s="11" t="inlineStr"/>
      <c r="P14" s="11" t="inlineStr"/>
    </row>
    <row r="15">
      <c r="A15" s="10" t="n">
        <v>14</v>
      </c>
      <c r="B15" s="10" t="inlineStr">
        <is>
          <t>TC-CON-016</t>
        </is>
      </c>
      <c r="C15" s="10" t="inlineStr">
        <is>
          <t>Messaging &amp; Contract</t>
        </is>
      </c>
      <c r="D15" s="10" t="inlineStr">
        <is>
          <t>Outbox / Inbox / Idempotency — Outbox / Inbox / Idempotency</t>
        </is>
      </c>
      <c r="E15" s="10" t="inlineStr">
        <is>
          <t>Idempotent gửi cảnh báo</t>
        </is>
      </c>
      <c r="F15" s="10" t="inlineStr"/>
      <c r="G15" s="10" t="inlineStr">
        <is>
          <t>Gửi lại `IncidentOpenedV1`</t>
        </is>
      </c>
      <c r="H15" s="10" t="inlineStr"/>
      <c r="I15" s="10" t="inlineStr">
        <is>
          <t>Chỉ một email/webhook (cùng `deliveryId`)</t>
        </is>
      </c>
      <c r="J15" s="10" t="inlineStr"/>
      <c r="K15" s="10" t="inlineStr">
        <is>
          <t>P1 - Cao</t>
        </is>
      </c>
      <c r="L15" s="10" t="inlineStr">
        <is>
          <t>BR-NTF-003</t>
        </is>
      </c>
      <c r="M15" s="11" t="inlineStr">
        <is>
          <t>Chưa chạy</t>
        </is>
      </c>
      <c r="N15" s="11" t="inlineStr"/>
      <c r="O15" s="11" t="inlineStr"/>
      <c r="P15" s="11" t="inlineStr"/>
    </row>
    <row r="16">
      <c r="A16" s="10" t="n">
        <v>15</v>
      </c>
      <c r="B16" s="10" t="inlineStr">
        <is>
          <t>TC-CON-017</t>
        </is>
      </c>
      <c r="C16" s="10" t="inlineStr">
        <is>
          <t>Messaging &amp; Contract</t>
        </is>
      </c>
      <c r="D16" s="10" t="inlineStr">
        <is>
          <t>Outbox / Inbox / Idempotency — Outbox / Inbox / Idempotency</t>
        </is>
      </c>
      <c r="E16" s="10" t="inlineStr">
        <is>
          <t>Thứ tự không đảm bảo</t>
        </is>
      </c>
      <c r="F16" s="10" t="inlineStr"/>
      <c r="G16" s="10" t="inlineStr">
        <is>
          <t>Gửi snapshot mới trước, cũ sau</t>
        </is>
      </c>
      <c r="H16" s="10" t="inlineStr"/>
      <c r="I16" s="10" t="inlineStr">
        <is>
          <t>Bản cũ bị bỏ qua nhờ `lastProcessedAt`</t>
        </is>
      </c>
      <c r="J16" s="10" t="inlineStr"/>
      <c r="K16" s="10" t="inlineStr">
        <is>
          <t>P1 - Cao</t>
        </is>
      </c>
      <c r="L16" s="10" t="inlineStr">
        <is>
          <t>BR-RTM-004, FR-INC-020</t>
        </is>
      </c>
      <c r="M16" s="11" t="inlineStr">
        <is>
          <t>Chưa chạy</t>
        </is>
      </c>
      <c r="N16" s="11" t="inlineStr"/>
      <c r="O16" s="11" t="inlineStr"/>
      <c r="P16" s="11" t="inlineStr"/>
    </row>
    <row r="17">
      <c r="A17" s="10" t="n">
        <v>16</v>
      </c>
      <c r="B17" s="10" t="inlineStr">
        <is>
          <t>TC-CON-021</t>
        </is>
      </c>
      <c r="C17" s="10" t="inlineStr">
        <is>
          <t>Messaging &amp; Contract</t>
        </is>
      </c>
      <c r="D17" s="10" t="inlineStr">
        <is>
          <t>Retry, DLQ &amp; phục hồi — Retry, DLQ &amp; phục hồi</t>
        </is>
      </c>
      <c r="E17" s="10" t="inlineStr">
        <is>
          <t>Retry tức thì</t>
        </is>
      </c>
      <c r="F17" s="10" t="inlineStr"/>
      <c r="G17" s="10" t="inlineStr">
        <is>
          <t>Consumer ném lỗi tạm 3 lần rồi thành công</t>
        </is>
      </c>
      <c r="H17" s="10" t="inlineStr"/>
      <c r="I17" s="10" t="inlineStr">
        <is>
          <t>Message được retry theo cấu hình exponential; cuối cùng xử lý thành công</t>
        </is>
      </c>
      <c r="J17" s="10" t="inlineStr"/>
      <c r="K17" s="10" t="inlineStr">
        <is>
          <t>P1 - Cao</t>
        </is>
      </c>
      <c r="L17" s="10" t="inlineStr">
        <is>
          <t>§4.3</t>
        </is>
      </c>
      <c r="M17" s="11" t="inlineStr">
        <is>
          <t>Chưa chạy</t>
        </is>
      </c>
      <c r="N17" s="11" t="inlineStr"/>
      <c r="O17" s="11" t="inlineStr"/>
      <c r="P17" s="11" t="inlineStr"/>
    </row>
    <row r="18">
      <c r="A18" s="10" t="n">
        <v>17</v>
      </c>
      <c r="B18" s="10" t="inlineStr">
        <is>
          <t>TC-CON-022</t>
        </is>
      </c>
      <c r="C18" s="10" t="inlineStr">
        <is>
          <t>Messaging &amp; Contract</t>
        </is>
      </c>
      <c r="D18" s="10" t="inlineStr">
        <is>
          <t>Retry, DLQ &amp; phục hồi — Retry, DLQ &amp; phục hồi</t>
        </is>
      </c>
      <c r="E18" s="10" t="inlineStr">
        <is>
          <t>Redelivery có độ trễ</t>
        </is>
      </c>
      <c r="F18" s="10" t="inlineStr"/>
      <c r="G18" s="10" t="inlineStr">
        <is>
          <t>Consumer luôn lỗi tạm</t>
        </is>
      </c>
      <c r="H18" s="10" t="inlineStr"/>
      <c r="I18" s="10" t="inlineStr">
        <is>
          <t>Sau retry tức thì, message được redeliver ở 1′, 5′, 15′</t>
        </is>
      </c>
      <c r="J18" s="10" t="inlineStr"/>
      <c r="K18" s="10" t="inlineStr">
        <is>
          <t>P2 - Trung bình</t>
        </is>
      </c>
      <c r="L18" s="10" t="inlineStr">
        <is>
          <t>§4.3</t>
        </is>
      </c>
      <c r="M18" s="11" t="inlineStr">
        <is>
          <t>Chưa chạy</t>
        </is>
      </c>
      <c r="N18" s="11" t="inlineStr"/>
      <c r="O18" s="11" t="inlineStr"/>
      <c r="P18" s="11" t="inlineStr"/>
    </row>
    <row r="19">
      <c r="A19" s="10" t="n">
        <v>18</v>
      </c>
      <c r="B19" s="10" t="inlineStr">
        <is>
          <t>TC-CON-023</t>
        </is>
      </c>
      <c r="C19" s="10" t="inlineStr">
        <is>
          <t>Messaging &amp; Contract</t>
        </is>
      </c>
      <c r="D19" s="10" t="inlineStr">
        <is>
          <t>Retry, DLQ &amp; phục hồi — Retry, DLQ &amp; phục hồi</t>
        </is>
      </c>
      <c r="E19" s="10" t="inlineStr">
        <is>
          <t>Vào DLQ</t>
        </is>
      </c>
      <c r="F19" s="10" t="inlineStr"/>
      <c r="G19" s="10" t="inlineStr">
        <is>
          <t>Consumer luôn lỗi</t>
        </is>
      </c>
      <c r="H19" s="10" t="inlineStr"/>
      <c r="I19" s="10" t="inlineStr">
        <is>
          <t>Message vào `&lt;queue&gt;_error` với header `MT-Fault-Message`; metric `soe_dlq_messages` &gt; 0</t>
        </is>
      </c>
      <c r="J19" s="10" t="inlineStr"/>
      <c r="K19" s="10" t="inlineStr">
        <is>
          <t>P1 - Cao</t>
        </is>
      </c>
      <c r="L19" s="10" t="inlineStr">
        <is>
          <t>§4.3</t>
        </is>
      </c>
      <c r="M19" s="11" t="inlineStr">
        <is>
          <t>Chưa chạy</t>
        </is>
      </c>
      <c r="N19" s="11" t="inlineStr"/>
      <c r="O19" s="11" t="inlineStr"/>
      <c r="P19" s="11" t="inlineStr"/>
    </row>
    <row r="20">
      <c r="A20" s="10" t="n">
        <v>19</v>
      </c>
      <c r="B20" s="10" t="inlineStr">
        <is>
          <t>TC-CON-024</t>
        </is>
      </c>
      <c r="C20" s="10" t="inlineStr">
        <is>
          <t>Messaging &amp; Contract</t>
        </is>
      </c>
      <c r="D20" s="10" t="inlineStr">
        <is>
          <t>Retry, DLQ &amp; phục hồi — Retry, DLQ &amp; phục hồi</t>
        </is>
      </c>
      <c r="E20" s="10" t="inlineStr">
        <is>
          <t>Lỗi không retry</t>
        </is>
      </c>
      <c r="F20" s="10" t="inlineStr"/>
      <c r="G20" s="10" t="inlineStr">
        <is>
          <t>Message sai schema</t>
        </is>
      </c>
      <c r="H20" s="10" t="inlineStr"/>
      <c r="I20" s="10" t="inlineStr">
        <is>
          <t>Vào `&lt;queue&gt;_skipped`, không retry</t>
        </is>
      </c>
      <c r="J20" s="10" t="inlineStr"/>
      <c r="K20" s="10" t="inlineStr">
        <is>
          <t>P2 - Trung bình</t>
        </is>
      </c>
      <c r="L20" s="10" t="inlineStr">
        <is>
          <t>§4.3</t>
        </is>
      </c>
      <c r="M20" s="11" t="inlineStr">
        <is>
          <t>Chưa chạy</t>
        </is>
      </c>
      <c r="N20" s="11" t="inlineStr"/>
      <c r="O20" s="11" t="inlineStr"/>
      <c r="P20" s="11" t="inlineStr"/>
    </row>
    <row r="21">
      <c r="A21" s="10" t="n">
        <v>20</v>
      </c>
      <c r="B21" s="10" t="inlineStr">
        <is>
          <t>TC-CON-025</t>
        </is>
      </c>
      <c r="C21" s="10" t="inlineStr">
        <is>
          <t>Messaging &amp; Contract</t>
        </is>
      </c>
      <c r="D21" s="10" t="inlineStr">
        <is>
          <t>Retry, DLQ &amp; phục hồi — Retry, DLQ &amp; phục hồi</t>
        </is>
      </c>
      <c r="E21" s="10" t="inlineStr">
        <is>
          <t>Phát lại từ DLQ</t>
        </is>
      </c>
      <c r="F21" s="10" t="inlineStr"/>
      <c r="G21" s="10" t="inlineStr">
        <is>
          <t>Shovel message từ `_error` về queue gốc sau khi sửa lỗi</t>
        </is>
      </c>
      <c r="H21" s="10" t="inlineStr"/>
      <c r="I21" s="10" t="inlineStr">
        <is>
          <t>Message được xử lý thành công; DLQ về 0</t>
        </is>
      </c>
      <c r="J21" s="10" t="inlineStr"/>
      <c r="K21" s="10" t="inlineStr">
        <is>
          <t>P1 - Cao</t>
        </is>
      </c>
      <c r="L21" s="10" t="inlineStr">
        <is>
          <t>Runbook</t>
        </is>
      </c>
      <c r="M21" s="11" t="inlineStr">
        <is>
          <t>Chưa chạy</t>
        </is>
      </c>
      <c r="N21" s="11" t="inlineStr"/>
      <c r="O21" s="11" t="inlineStr"/>
      <c r="P21" s="11" t="inlineStr"/>
    </row>
    <row r="22">
      <c r="A22" s="10" t="n">
        <v>21</v>
      </c>
      <c r="B22" s="10" t="inlineStr">
        <is>
          <t>TC-CON-026</t>
        </is>
      </c>
      <c r="C22" s="10" t="inlineStr">
        <is>
          <t>Messaging &amp; Contract</t>
        </is>
      </c>
      <c r="D22" s="10" t="inlineStr">
        <is>
          <t>Retry, DLQ &amp; phục hồi — Retry, DLQ &amp; phục hồi</t>
        </is>
      </c>
      <c r="E22" s="10" t="inlineStr">
        <is>
          <t>Cảnh báo khi DLQ khác rỗng</t>
        </is>
      </c>
      <c r="F22" s="10" t="inlineStr"/>
      <c r="G22" s="10" t="inlineStr">
        <is>
          <t>Đưa 1 message vào DLQ</t>
        </is>
      </c>
      <c r="H22" s="10" t="inlineStr"/>
      <c r="I22" s="10" t="inlineStr">
        <is>
          <t>Alert `SoeDlqNotEmpty` bắn trong ≤ 5 phút</t>
        </is>
      </c>
      <c r="J22" s="10" t="inlineStr"/>
      <c r="K22" s="10" t="inlineStr">
        <is>
          <t>P2 - Trung bình</t>
        </is>
      </c>
      <c r="L22" s="10" t="inlineStr">
        <is>
          <t>observability §7</t>
        </is>
      </c>
      <c r="M22" s="11" t="inlineStr">
        <is>
          <t>Chưa chạy</t>
        </is>
      </c>
      <c r="N22" s="11" t="inlineStr"/>
      <c r="O22" s="11" t="inlineStr"/>
      <c r="P22" s="11" t="inlineStr"/>
    </row>
    <row r="23">
      <c r="A23" s="10" t="n">
        <v>22</v>
      </c>
      <c r="B23" s="10" t="inlineStr">
        <is>
          <t>TC-CON-027</t>
        </is>
      </c>
      <c r="C23" s="10" t="inlineStr">
        <is>
          <t>Messaging &amp; Contract</t>
        </is>
      </c>
      <c r="D23" s="10" t="inlineStr">
        <is>
          <t>Retry, DLQ &amp; phục hồi — Retry, DLQ &amp; phục hồi</t>
        </is>
      </c>
      <c r="E23" s="10" t="inlineStr">
        <is>
          <t>Prefetch &amp; đồng thời</t>
        </is>
      </c>
      <c r="F23" s="10" t="inlineStr"/>
      <c r="G23" s="10" t="inlineStr">
        <is>
          <t>Gửi 1.000 message</t>
        </is>
      </c>
      <c r="H23" s="10" t="inlineStr"/>
      <c r="I23" s="10" t="inlineStr">
        <is>
          <t>Không vượt `PrefetchCount`/`ConcurrentMessageLimit` cấu hình</t>
        </is>
      </c>
      <c r="J23" s="10" t="inlineStr"/>
      <c r="K23" s="10" t="inlineStr">
        <is>
          <t>P2 - Trung bình</t>
        </is>
      </c>
      <c r="L23" s="10" t="inlineStr">
        <is>
          <t>§7</t>
        </is>
      </c>
      <c r="M23" s="11" t="inlineStr">
        <is>
          <t>Chưa chạy</t>
        </is>
      </c>
      <c r="N23" s="11" t="inlineStr"/>
      <c r="O23" s="11" t="inlineStr"/>
      <c r="P23" s="11" t="inlineStr"/>
    </row>
    <row r="24">
      <c r="A24" s="10" t="n">
        <v>23</v>
      </c>
      <c r="B24" s="10" t="inlineStr">
        <is>
          <t>TC-CON-028</t>
        </is>
      </c>
      <c r="C24" s="10" t="inlineStr">
        <is>
          <t>Messaging &amp; Contract</t>
        </is>
      </c>
      <c r="D24" s="10" t="inlineStr">
        <is>
          <t>Retry, DLQ &amp; phục hồi — Retry, DLQ &amp; phục hồi</t>
        </is>
      </c>
      <c r="E24" s="10" t="inlineStr">
        <is>
          <t>Queue Realtime tự xóa</t>
        </is>
      </c>
      <c r="F24" s="10" t="inlineStr"/>
      <c r="G24" s="10" t="inlineStr">
        <is>
          <t>Dừng một instance Realtime</t>
        </is>
      </c>
      <c r="H24" s="10" t="inlineStr"/>
      <c r="I24" s="10" t="inlineStr">
        <is>
          <t>Queue `realtime.&lt;instance&gt;` bị xóa tự động, không tồn đọng</t>
        </is>
      </c>
      <c r="J24" s="10" t="inlineStr"/>
      <c r="K24" s="10" t="inlineStr">
        <is>
          <t>P2 - Trung bình</t>
        </is>
      </c>
      <c r="L24" s="10" t="inlineStr">
        <is>
          <t>§2</t>
        </is>
      </c>
      <c r="M24" s="11" t="inlineStr">
        <is>
          <t>Chưa chạy</t>
        </is>
      </c>
      <c r="N24" s="11" t="inlineStr"/>
      <c r="O24" s="11" t="inlineStr"/>
      <c r="P24" s="11" t="inlineStr"/>
    </row>
    <row r="25">
      <c r="A25" s="10" t="n">
        <v>24</v>
      </c>
      <c r="B25" s="10" t="inlineStr">
        <is>
          <t>TC-CON-029</t>
        </is>
      </c>
      <c r="C25" s="10" t="inlineStr">
        <is>
          <t>Messaging &amp; Contract</t>
        </is>
      </c>
      <c r="D25" s="10" t="inlineStr">
        <is>
          <t>Retry, DLQ &amp; phục hồi — Retry, DLQ &amp; phục hồi</t>
        </is>
      </c>
      <c r="E25" s="10" t="inlineStr">
        <is>
          <t>TTL lệnh quét</t>
        </is>
      </c>
      <c r="F25" s="10" t="inlineStr"/>
      <c r="G25" s="10" t="inlineStr">
        <is>
          <t>Đưa `CheckNodeV1` vào queue rồi giữ worker ngừng 6 phút</t>
        </is>
      </c>
      <c r="H25" s="10" t="inlineStr"/>
      <c r="I25" s="10" t="inlineStr">
        <is>
          <t>Message hết hạn, không được xử lý khi worker trở lại</t>
        </is>
      </c>
      <c r="J25" s="10" t="inlineStr"/>
      <c r="K25" s="10" t="inlineStr">
        <is>
          <t>P2 - Trung bình</t>
        </is>
      </c>
      <c r="L25" s="10" t="inlineStr">
        <is>
          <t>FR-MON-016</t>
        </is>
      </c>
      <c r="M25" s="11" t="inlineStr">
        <is>
          <t>Chưa chạy</t>
        </is>
      </c>
      <c r="N25" s="11" t="inlineStr"/>
      <c r="O25" s="11" t="inlineStr"/>
      <c r="P25" s="11" t="inlineStr"/>
    </row>
    <row r="26">
      <c r="A26" s="10" t="n">
        <v>25</v>
      </c>
      <c r="B26" s="10" t="inlineStr">
        <is>
          <t>TC-CON-030</t>
        </is>
      </c>
      <c r="C26" s="10" t="inlineStr">
        <is>
          <t>Messaging &amp; Contract</t>
        </is>
      </c>
      <c r="D26" s="10" t="inlineStr">
        <is>
          <t>Retry, DLQ &amp; phục hồi — Retry, DLQ &amp; phục hồi</t>
        </is>
      </c>
      <c r="E26" s="10" t="inlineStr">
        <is>
          <t>Quyền truy cập broker</t>
        </is>
      </c>
      <c r="F26" s="10" t="inlineStr"/>
      <c r="G26" s="10" t="inlineStr">
        <is>
          <t>Dùng tài khoản của service A đọc queue của service B</t>
        </is>
      </c>
      <c r="H26" s="10" t="inlineStr"/>
      <c r="I26" s="10" t="inlineStr">
        <is>
          <t>Bị từ chối (phân quyền theo tiền tố)</t>
        </is>
      </c>
      <c r="J26" s="10" t="inlineStr"/>
      <c r="K26" s="10" t="inlineStr">
        <is>
          <t>P2 - Trung bình</t>
        </is>
      </c>
      <c r="L26" s="10" t="inlineStr">
        <is>
          <t>§6</t>
        </is>
      </c>
      <c r="M26" s="11" t="inlineStr">
        <is>
          <t>Chưa chạy</t>
        </is>
      </c>
      <c r="N26" s="11" t="inlineStr"/>
      <c r="O26" s="11" t="inlineStr"/>
      <c r="P26" s="11" t="inlineStr"/>
    </row>
    <row r="27">
      <c r="A27" s="10" t="n">
        <v>26</v>
      </c>
      <c r="B27" s="10" t="inlineStr">
        <is>
          <t>TC-CON-041</t>
        </is>
      </c>
      <c r="C27" s="10" t="inlineStr">
        <is>
          <t>Messaging &amp; Contract</t>
        </is>
      </c>
      <c r="D27" s="10" t="inlineStr">
        <is>
          <t>Kiểm thử tích hợp xuyên service (end-to-end đường ống) — Kiểm thử tích hợp xuyên service (end-to-end đường ống)</t>
        </is>
      </c>
      <c r="E27" s="10" t="inlineStr">
        <is>
          <t>Toàn tuyến “vượt ngưỡng → email”</t>
        </is>
      </c>
      <c r="F27" s="10" t="inlineStr"/>
      <c r="G27" s="10" t="inlineStr">
        <is>
          <t>Ép node giả lập báo disk 95%, chạy 2 chu kỳ</t>
        </is>
      </c>
      <c r="H27" s="10" t="inlineStr"/>
      <c r="I27" s="10" t="inlineStr">
        <is>
          <t>Snapshot được lưu → sự cố CRITICAL mở → email tới MailHog → audit đủ bản ghi → client nhận sự kiện realtime</t>
        </is>
      </c>
      <c r="J27" s="10" t="inlineStr"/>
      <c r="K27" s="10" t="inlineStr">
        <is>
          <t>P1 - Cao</t>
        </is>
      </c>
      <c r="L27" s="10" t="inlineStr">
        <is>
          <t>UC-MON-01, UC-INC-01, UC-NTF-01</t>
        </is>
      </c>
      <c r="M27" s="11" t="inlineStr">
        <is>
          <t>Chưa chạy</t>
        </is>
      </c>
      <c r="N27" s="11" t="inlineStr"/>
      <c r="O27" s="11" t="inlineStr"/>
      <c r="P27" s="11" t="inlineStr"/>
    </row>
    <row r="28">
      <c r="A28" s="10" t="n">
        <v>27</v>
      </c>
      <c r="B28" s="10" t="inlineStr">
        <is>
          <t>TC-CON-042</t>
        </is>
      </c>
      <c r="C28" s="10" t="inlineStr">
        <is>
          <t>Messaging &amp; Contract</t>
        </is>
      </c>
      <c r="D28" s="10" t="inlineStr">
        <is>
          <t>Kiểm thử tích hợp xuyên service (end-to-end đường ống) — Kiểm thử tích hợp xuyên service (end-to-end đường ống)</t>
        </is>
      </c>
      <c r="E28" s="10" t="inlineStr">
        <is>
          <t>Toàn tuyến “hồi phục → tự đóng”</t>
        </is>
      </c>
      <c r="F28" s="10" t="inlineStr"/>
      <c r="G28" s="10" t="inlineStr">
        <is>
          <t>Hạ giá trị xuống 70% trong 2 chu kỳ</t>
        </is>
      </c>
      <c r="H28" s="10" t="inlineStr"/>
      <c r="I28" s="10" t="inlineStr">
        <is>
          <t>Sự cố tự đóng, thông báo đóng được gửi, giao diện cập nhật</t>
        </is>
      </c>
      <c r="J28" s="10" t="inlineStr"/>
      <c r="K28" s="10" t="inlineStr">
        <is>
          <t>P1 - Cao</t>
        </is>
      </c>
      <c r="L28" s="10" t="inlineStr">
        <is>
          <t>UC-INC-04</t>
        </is>
      </c>
      <c r="M28" s="11" t="inlineStr">
        <is>
          <t>Chưa chạy</t>
        </is>
      </c>
      <c r="N28" s="11" t="inlineStr"/>
      <c r="O28" s="11" t="inlineStr"/>
      <c r="P28" s="11" t="inlineStr"/>
    </row>
    <row r="29">
      <c r="A29" s="10" t="n">
        <v>28</v>
      </c>
      <c r="B29" s="10" t="inlineStr">
        <is>
          <t>TC-CON-043</t>
        </is>
      </c>
      <c r="C29" s="10" t="inlineStr">
        <is>
          <t>Messaging &amp; Contract</t>
        </is>
      </c>
      <c r="D29" s="10" t="inlineStr">
        <is>
          <t>Kiểm thử tích hợp xuyên service (end-to-end đường ống) — Kiểm thử tích hợp xuyên service (end-to-end đường ống)</t>
        </is>
      </c>
      <c r="E29" s="10" t="inlineStr">
        <is>
          <t>Toàn tuyến “tạo node → quét lần đầu”</t>
        </is>
      </c>
      <c r="F29" s="10" t="inlineStr"/>
      <c r="G29" s="10" t="inlineStr">
        <is>
          <t>Tạo node mới qua API</t>
        </is>
      </c>
      <c r="H29" s="10" t="inlineStr"/>
      <c r="I29" s="10" t="inlineStr">
        <is>
          <t>Read model đồng bộ, node được quét ở chu kỳ kế tiếp, dashboard hiện chỉ số</t>
        </is>
      </c>
      <c r="J29" s="10" t="inlineStr"/>
      <c r="K29" s="10" t="inlineStr">
        <is>
          <t>P1 - Cao</t>
        </is>
      </c>
      <c r="L29" s="10" t="inlineStr">
        <is>
          <t>UC-INV-01</t>
        </is>
      </c>
      <c r="M29" s="11" t="inlineStr">
        <is>
          <t>Chưa chạy</t>
        </is>
      </c>
      <c r="N29" s="11" t="inlineStr"/>
      <c r="O29" s="11" t="inlineStr"/>
      <c r="P29" s="11" t="inlineStr"/>
    </row>
    <row r="30">
      <c r="A30" s="10" t="n">
        <v>29</v>
      </c>
      <c r="B30" s="10" t="inlineStr">
        <is>
          <t>TC-CON-044</t>
        </is>
      </c>
      <c r="C30" s="10" t="inlineStr">
        <is>
          <t>Messaging &amp; Contract</t>
        </is>
      </c>
      <c r="D30" s="10" t="inlineStr">
        <is>
          <t>Kiểm thử tích hợp xuyên service (end-to-end đường ống) — Kiểm thử tích hợp xuyên service (end-to-end đường ống)</t>
        </is>
      </c>
      <c r="E30" s="10" t="inlineStr">
        <is>
          <t>Toàn tuyến “xóa node”</t>
        </is>
      </c>
      <c r="F30" s="10" t="inlineStr"/>
      <c r="G30" s="10" t="inlineStr">
        <is>
          <t>Xóa node đang có sự cố</t>
        </is>
      </c>
      <c r="H30" s="10" t="inlineStr"/>
      <c r="I30" s="10" t="inlineStr">
        <is>
          <t>Lịch quét dừng, sự cố đóng, dữ liệu lịch sử vẫn truy vấn được, audit đầy đủ</t>
        </is>
      </c>
      <c r="J30" s="10" t="inlineStr"/>
      <c r="K30" s="10" t="inlineStr">
        <is>
          <t>P1 - Cao</t>
        </is>
      </c>
      <c r="L30" s="10" t="inlineStr">
        <is>
          <t>UC-INV-04</t>
        </is>
      </c>
      <c r="M30" s="11" t="inlineStr">
        <is>
          <t>Chưa chạy</t>
        </is>
      </c>
      <c r="N30" s="11" t="inlineStr"/>
      <c r="O30" s="11" t="inlineStr"/>
      <c r="P30" s="11" t="inlineStr"/>
    </row>
    <row r="31">
      <c r="A31" s="10" t="n">
        <v>30</v>
      </c>
      <c r="B31" s="10" t="inlineStr">
        <is>
          <t>TC-CON-045</t>
        </is>
      </c>
      <c r="C31" s="10" t="inlineStr">
        <is>
          <t>Messaging &amp; Contract</t>
        </is>
      </c>
      <c r="D31" s="10" t="inlineStr">
        <is>
          <t>Kiểm thử tích hợp xuyên service (end-to-end đường ống) — Kiểm thử tích hợp xuyên service (end-to-end đường ống)</t>
        </is>
      </c>
      <c r="E31" s="10" t="inlineStr">
        <is>
          <t>Một `correlationId` xuyên suốt</t>
        </is>
      </c>
      <c r="F31" s="10" t="inlineStr"/>
      <c r="G31" s="10" t="inlineStr">
        <is>
          <t>Thực hiện một thao tác ghi</t>
        </is>
      </c>
      <c r="H31" s="10" t="inlineStr"/>
      <c r="I31" s="10" t="inlineStr">
        <is>
          <t>Cùng `correlationId` xuất hiện ở log gateway, service, consumer và bản ghi audit</t>
        </is>
      </c>
      <c r="J31" s="10" t="inlineStr"/>
      <c r="K31" s="10" t="inlineStr">
        <is>
          <t>P1 - Cao</t>
        </is>
      </c>
      <c r="L31" s="10" t="inlineStr">
        <is>
          <t>NFR-OBS-001</t>
        </is>
      </c>
      <c r="M31" s="11" t="inlineStr">
        <is>
          <t>Chưa chạy</t>
        </is>
      </c>
      <c r="N31" s="11" t="inlineStr"/>
      <c r="O31" s="11" t="inlineStr"/>
      <c r="P31" s="11" t="inlineStr"/>
    </row>
    <row r="32">
      <c r="A32" s="10" t="n">
        <v>31</v>
      </c>
      <c r="B32" s="10" t="inlineStr">
        <is>
          <t>TC-PERF-API-001</t>
        </is>
      </c>
      <c r="C32" s="10" t="inlineStr">
        <is>
          <t>Performance &amp; Scaling</t>
        </is>
      </c>
      <c r="D32" s="10" t="inlineStr">
        <is>
          <t>API — Hiệu năng API (k6)</t>
        </is>
      </c>
      <c r="E32" s="10" t="inlineStr">
        <is>
          <t>`GET /nodes` phân trang</t>
        </is>
      </c>
      <c r="F32" s="10" t="inlineStr"/>
      <c r="G32" s="10" t="inlineStr"/>
      <c r="H32" s="10" t="inlineStr">
        <is>
          <t>30 VU, 5 phút</t>
        </is>
      </c>
      <c r="I32" s="10" t="inlineStr">
        <is>
          <t>p95 ≤ 300 ms, lỗi 0%</t>
        </is>
      </c>
      <c r="J32" s="10" t="inlineStr"/>
      <c r="K32" s="10" t="inlineStr">
        <is>
          <t>P1 - Cao</t>
        </is>
      </c>
      <c r="L32" s="10" t="inlineStr">
        <is>
          <t>NFR-PERF-001</t>
        </is>
      </c>
      <c r="M32" s="11" t="inlineStr">
        <is>
          <t>Chưa chạy</t>
        </is>
      </c>
      <c r="N32" s="11" t="inlineStr"/>
      <c r="O32" s="11" t="inlineStr"/>
      <c r="P32" s="11" t="inlineStr"/>
    </row>
    <row r="33">
      <c r="A33" s="10" t="n">
        <v>32</v>
      </c>
      <c r="B33" s="10" t="inlineStr">
        <is>
          <t>TC-PERF-API-002</t>
        </is>
      </c>
      <c r="C33" s="10" t="inlineStr">
        <is>
          <t>Performance &amp; Scaling</t>
        </is>
      </c>
      <c r="D33" s="10" t="inlineStr">
        <is>
          <t>API — Hiệu năng API (k6)</t>
        </is>
      </c>
      <c r="E33" s="10" t="inlineStr">
        <is>
          <t>`GET /metrics/latest` (500 node)</t>
        </is>
      </c>
      <c r="F33" s="10" t="inlineStr"/>
      <c r="G33" s="10" t="inlineStr"/>
      <c r="H33" s="10" t="inlineStr">
        <is>
          <t>30 VU, 5 phút</t>
        </is>
      </c>
      <c r="I33" s="10" t="inlineStr">
        <is>
          <t>p95 ≤ 400 ms</t>
        </is>
      </c>
      <c r="J33" s="10" t="inlineStr"/>
      <c r="K33" s="10" t="inlineStr">
        <is>
          <t>P1 - Cao</t>
        </is>
      </c>
      <c r="L33" s="10" t="inlineStr">
        <is>
          <t>NFR-PERF-003</t>
        </is>
      </c>
      <c r="M33" s="11" t="inlineStr">
        <is>
          <t>Chưa chạy</t>
        </is>
      </c>
      <c r="N33" s="11" t="inlineStr"/>
      <c r="O33" s="11" t="inlineStr"/>
      <c r="P33" s="11" t="inlineStr"/>
    </row>
    <row r="34">
      <c r="A34" s="10" t="n">
        <v>33</v>
      </c>
      <c r="B34" s="10" t="inlineStr">
        <is>
          <t>TC-PERF-API-003</t>
        </is>
      </c>
      <c r="C34" s="10" t="inlineStr">
        <is>
          <t>Performance &amp; Scaling</t>
        </is>
      </c>
      <c r="D34" s="10" t="inlineStr">
        <is>
          <t>API — Hiệu năng API (k6)</t>
        </is>
      </c>
      <c r="E34" s="10" t="inlineStr">
        <is>
          <t>`GET /nodes/{id}/metrics?range=30d`</t>
        </is>
      </c>
      <c r="F34" s="10" t="inlineStr"/>
      <c r="G34" s="10" t="inlineStr"/>
      <c r="H34" s="10" t="inlineStr">
        <is>
          <t>20 VU, 5 phút</t>
        </is>
      </c>
      <c r="I34" s="10" t="inlineStr">
        <is>
          <t>p95 ≤ 700 ms, ≤ 500 điểm/phản hồi</t>
        </is>
      </c>
      <c r="J34" s="10" t="inlineStr"/>
      <c r="K34" s="10" t="inlineStr">
        <is>
          <t>P1 - Cao</t>
        </is>
      </c>
      <c r="L34" s="10" t="inlineStr">
        <is>
          <t>NFR-PERF-004</t>
        </is>
      </c>
      <c r="M34" s="11" t="inlineStr">
        <is>
          <t>Chưa chạy</t>
        </is>
      </c>
      <c r="N34" s="11" t="inlineStr"/>
      <c r="O34" s="11" t="inlineStr"/>
      <c r="P34" s="11" t="inlineStr"/>
    </row>
    <row r="35">
      <c r="A35" s="10" t="n">
        <v>34</v>
      </c>
      <c r="B35" s="10" t="inlineStr">
        <is>
          <t>TC-PERF-API-004</t>
        </is>
      </c>
      <c r="C35" s="10" t="inlineStr">
        <is>
          <t>Performance &amp; Scaling</t>
        </is>
      </c>
      <c r="D35" s="10" t="inlineStr">
        <is>
          <t>API — Hiệu năng API (k6)</t>
        </is>
      </c>
      <c r="E35" s="10" t="inlineStr">
        <is>
          <t>`GET /incidents` với 100.000 bản ghi</t>
        </is>
      </c>
      <c r="F35" s="10" t="inlineStr"/>
      <c r="G35" s="10" t="inlineStr"/>
      <c r="H35" s="10" t="inlineStr">
        <is>
          <t>20 VU</t>
        </is>
      </c>
      <c r="I35" s="10" t="inlineStr">
        <is>
          <t>p95 ≤ 300 ms</t>
        </is>
      </c>
      <c r="J35" s="10" t="inlineStr"/>
      <c r="K35" s="10" t="inlineStr">
        <is>
          <t>P1 - Cao</t>
        </is>
      </c>
      <c r="L35" s="10" t="inlineStr">
        <is>
          <t>NFR-PERF-001</t>
        </is>
      </c>
      <c r="M35" s="11" t="inlineStr">
        <is>
          <t>Chưa chạy</t>
        </is>
      </c>
      <c r="N35" s="11" t="inlineStr"/>
      <c r="O35" s="11" t="inlineStr"/>
      <c r="P35" s="11" t="inlineStr"/>
    </row>
    <row r="36">
      <c r="A36" s="10" t="n">
        <v>35</v>
      </c>
      <c r="B36" s="10" t="inlineStr">
        <is>
          <t>TC-PERF-API-005</t>
        </is>
      </c>
      <c r="C36" s="10" t="inlineStr">
        <is>
          <t>Performance &amp; Scaling</t>
        </is>
      </c>
      <c r="D36" s="10" t="inlineStr">
        <is>
          <t>API — Hiệu năng API (k6)</t>
        </is>
      </c>
      <c r="E36" s="10" t="inlineStr">
        <is>
          <t>Ghi: tạo/sửa node</t>
        </is>
      </c>
      <c r="F36" s="10" t="inlineStr"/>
      <c r="G36" s="10" t="inlineStr"/>
      <c r="H36" s="10" t="inlineStr">
        <is>
          <t>10 VU</t>
        </is>
      </c>
      <c r="I36" s="10" t="inlineStr">
        <is>
          <t>p95 ≤ 500 ms</t>
        </is>
      </c>
      <c r="J36" s="10" t="inlineStr"/>
      <c r="K36" s="10" t="inlineStr">
        <is>
          <t>P2 - Trung bình</t>
        </is>
      </c>
      <c r="L36" s="10" t="inlineStr">
        <is>
          <t>NFR-PERF-002</t>
        </is>
      </c>
      <c r="M36" s="11" t="inlineStr">
        <is>
          <t>Chưa chạy</t>
        </is>
      </c>
      <c r="N36" s="11" t="inlineStr"/>
      <c r="O36" s="11" t="inlineStr"/>
      <c r="P36" s="11" t="inlineStr"/>
    </row>
    <row r="37">
      <c r="A37" s="10" t="n">
        <v>36</v>
      </c>
      <c r="B37" s="10" t="inlineStr">
        <is>
          <t>TC-PERF-API-006</t>
        </is>
      </c>
      <c r="C37" s="10" t="inlineStr">
        <is>
          <t>Performance &amp; Scaling</t>
        </is>
      </c>
      <c r="D37" s="10" t="inlineStr">
        <is>
          <t>API — Hiệu năng API (k6)</t>
        </is>
      </c>
      <c r="E37" s="10" t="inlineStr">
        <is>
          <t>Đăng nhập (Argon2id)</t>
        </is>
      </c>
      <c r="F37" s="10" t="inlineStr"/>
      <c r="G37" s="10" t="inlineStr"/>
      <c r="H37" s="10" t="inlineStr">
        <is>
          <t>10 VU</t>
        </is>
      </c>
      <c r="I37" s="10" t="inlineStr">
        <is>
          <t>p95 ≤ 700 ms, CPU Identity &lt; 80%</t>
        </is>
      </c>
      <c r="J37" s="10" t="inlineStr"/>
      <c r="K37" s="10" t="inlineStr">
        <is>
          <t>P2 - Trung bình</t>
        </is>
      </c>
      <c r="L37" s="10" t="inlineStr">
        <is>
          <t>SRS IDN §10</t>
        </is>
      </c>
      <c r="M37" s="11" t="inlineStr">
        <is>
          <t>Chưa chạy</t>
        </is>
      </c>
      <c r="N37" s="11" t="inlineStr"/>
      <c r="O37" s="11" t="inlineStr"/>
      <c r="P37" s="11" t="inlineStr"/>
    </row>
    <row r="38">
      <c r="A38" s="10" t="n">
        <v>37</v>
      </c>
      <c r="B38" s="10" t="inlineStr">
        <is>
          <t>TC-PERF-API-007</t>
        </is>
      </c>
      <c r="C38" s="10" t="inlineStr">
        <is>
          <t>Performance &amp; Scaling</t>
        </is>
      </c>
      <c r="D38" s="10" t="inlineStr">
        <is>
          <t>API — Hiệu năng API (k6)</t>
        </is>
      </c>
      <c r="E38" s="10" t="inlineStr">
        <is>
          <t>Hỗn hợp thực tế (80% đọc / 20% ghi)</t>
        </is>
      </c>
      <c r="F38" s="10" t="inlineStr"/>
      <c r="G38" s="10" t="inlineStr"/>
      <c r="H38" s="10" t="inlineStr">
        <is>
          <t>50 VU, 15 phút</t>
        </is>
      </c>
      <c r="I38" s="10" t="inlineStr">
        <is>
          <t>p95 tổng ≤ 400 ms, lỗi &lt; 0,1%</t>
        </is>
      </c>
      <c r="J38" s="10" t="inlineStr"/>
      <c r="K38" s="10" t="inlineStr">
        <is>
          <t>P1 - Cao</t>
        </is>
      </c>
      <c r="L38" s="10" t="inlineStr">
        <is>
          <t>NFR-PERF-001</t>
        </is>
      </c>
      <c r="M38" s="11" t="inlineStr">
        <is>
          <t>Chưa chạy</t>
        </is>
      </c>
      <c r="N38" s="11" t="inlineStr"/>
      <c r="O38" s="11" t="inlineStr"/>
      <c r="P38" s="11" t="inlineStr"/>
    </row>
    <row r="39">
      <c r="A39" s="10" t="n">
        <v>38</v>
      </c>
      <c r="B39" s="10" t="inlineStr">
        <is>
          <t>TC-PERF-API-008</t>
        </is>
      </c>
      <c r="C39" s="10" t="inlineStr">
        <is>
          <t>Performance &amp; Scaling</t>
        </is>
      </c>
      <c r="D39" s="10" t="inlineStr">
        <is>
          <t>API — Hiệu năng API (k6)</t>
        </is>
      </c>
      <c r="E39" s="10" t="inlineStr">
        <is>
          <t>Spike test</t>
        </is>
      </c>
      <c r="F39" s="10" t="inlineStr"/>
      <c r="G39" s="10" t="inlineStr"/>
      <c r="H39" s="10" t="inlineStr">
        <is>
          <t>10 → 200 VU trong 30 giây</t>
        </is>
      </c>
      <c r="I39" s="10" t="inlineStr">
        <is>
          <t>Không lỗi 5xx kéo dài; hệ thống hồi phục &lt; 2 phút</t>
        </is>
      </c>
      <c r="J39" s="10" t="inlineStr"/>
      <c r="K39" s="10" t="inlineStr">
        <is>
          <t>P2 - Trung bình</t>
        </is>
      </c>
      <c r="L39" s="10" t="inlineStr">
        <is>
          <t>NFR-AVL-001</t>
        </is>
      </c>
      <c r="M39" s="11" t="inlineStr">
        <is>
          <t>Chưa chạy</t>
        </is>
      </c>
      <c r="N39" s="11" t="inlineStr"/>
      <c r="O39" s="11" t="inlineStr"/>
      <c r="P39" s="11" t="inlineStr"/>
    </row>
    <row r="40">
      <c r="A40" s="10" t="n">
        <v>39</v>
      </c>
      <c r="B40" s="10" t="inlineStr">
        <is>
          <t>TC-PERF-API-009</t>
        </is>
      </c>
      <c r="C40" s="10" t="inlineStr">
        <is>
          <t>Performance &amp; Scaling</t>
        </is>
      </c>
      <c r="D40" s="10" t="inlineStr">
        <is>
          <t>API — Hiệu năng API (k6)</t>
        </is>
      </c>
      <c r="E40" s="10" t="inlineStr">
        <is>
          <t>Soak test</t>
        </is>
      </c>
      <c r="F40" s="10" t="inlineStr"/>
      <c r="G40" s="10" t="inlineStr"/>
      <c r="H40" s="10" t="inlineStr">
        <is>
          <t>30 VU, 4 giờ</t>
        </is>
      </c>
      <c r="I40" s="10" t="inlineStr">
        <is>
          <t>Không rò rỉ bộ nhớ (RSS ổn định), không tăng độ trễ theo thời gian</t>
        </is>
      </c>
      <c r="J40" s="10" t="inlineStr"/>
      <c r="K40" s="10" t="inlineStr">
        <is>
          <t>P2 - Trung bình</t>
        </is>
      </c>
      <c r="L40" s="10" t="inlineStr">
        <is>
          <t>NFR-MNT</t>
        </is>
      </c>
      <c r="M40" s="11" t="inlineStr">
        <is>
          <t>Chưa chạy</t>
        </is>
      </c>
      <c r="N40" s="11" t="inlineStr"/>
      <c r="O40" s="11" t="inlineStr"/>
      <c r="P40" s="11" t="inlineStr"/>
    </row>
    <row r="41">
      <c r="A41" s="10" t="n">
        <v>40</v>
      </c>
      <c r="B41" s="10" t="inlineStr">
        <is>
          <t>TC-PERF-MON-001</t>
        </is>
      </c>
      <c r="C41" s="10" t="inlineStr">
        <is>
          <t>Performance &amp; Scaling</t>
        </is>
      </c>
      <c r="D41" s="10" t="inlineStr">
        <is>
          <t>Performance — Đường ống giám sát</t>
        </is>
      </c>
      <c r="E41" s="10" t="inlineStr">
        <is>
          <t>Độ phủ chu kỳ 500 node</t>
        </is>
      </c>
      <c r="F41" s="10" t="inlineStr"/>
      <c r="G41" s="10" t="inlineStr">
        <is>
          <t>Chạy 10 chu kỳ 5 phút với 2 worker</t>
        </is>
      </c>
      <c r="H41" s="10" t="inlineStr"/>
      <c r="I41" s="10" t="inlineStr">
        <is>
          <t>≥ 99% node được quét mỗi chu kỳ</t>
        </is>
      </c>
      <c r="J41" s="10" t="inlineStr"/>
      <c r="K41" s="10" t="inlineStr">
        <is>
          <t>P1 - Cao</t>
        </is>
      </c>
      <c r="L41" s="10" t="inlineStr">
        <is>
          <t>NFR-SCL-001</t>
        </is>
      </c>
      <c r="M41" s="11" t="inlineStr">
        <is>
          <t>Chưa chạy</t>
        </is>
      </c>
      <c r="N41" s="11" t="inlineStr"/>
      <c r="O41" s="11" t="inlineStr"/>
      <c r="P41" s="11" t="inlineStr"/>
    </row>
    <row r="42">
      <c r="A42" s="10" t="n">
        <v>41</v>
      </c>
      <c r="B42" s="10" t="inlineStr">
        <is>
          <t>TC-PERF-MON-002</t>
        </is>
      </c>
      <c r="C42" s="10" t="inlineStr">
        <is>
          <t>Performance &amp; Scaling</t>
        </is>
      </c>
      <c r="D42" s="10" t="inlineStr">
        <is>
          <t>Performance — Đường ống giám sát</t>
        </is>
      </c>
      <c r="E42" s="10" t="inlineStr">
        <is>
          <t>Thời gian một lần quét</t>
        </is>
      </c>
      <c r="F42" s="10" t="inlineStr"/>
      <c r="G42" s="10" t="inlineStr">
        <is>
          <t>Đo `soe_check_duration_seconds`</t>
        </is>
      </c>
      <c r="H42" s="10" t="inlineStr"/>
      <c r="I42" s="10" t="inlineStr">
        <is>
          <t>p95 ≤ 5 giây</t>
        </is>
      </c>
      <c r="J42" s="10" t="inlineStr"/>
      <c r="K42" s="10" t="inlineStr">
        <is>
          <t>P1 - Cao</t>
        </is>
      </c>
      <c r="L42" s="10" t="inlineStr">
        <is>
          <t>NFR-PERF-005</t>
        </is>
      </c>
      <c r="M42" s="11" t="inlineStr">
        <is>
          <t>Chưa chạy</t>
        </is>
      </c>
      <c r="N42" s="11" t="inlineStr"/>
      <c r="O42" s="11" t="inlineStr"/>
      <c r="P42" s="11" t="inlineStr"/>
    </row>
    <row r="43">
      <c r="A43" s="10" t="n">
        <v>42</v>
      </c>
      <c r="B43" s="10" t="inlineStr">
        <is>
          <t>TC-PERF-MON-003</t>
        </is>
      </c>
      <c r="C43" s="10" t="inlineStr">
        <is>
          <t>Performance &amp; Scaling</t>
        </is>
      </c>
      <c r="D43" s="10" t="inlineStr">
        <is>
          <t>Performance — Đường ống giám sát</t>
        </is>
      </c>
      <c r="E43" s="10" t="inlineStr">
        <is>
          <t>Mở rộng ngang worker</t>
        </is>
      </c>
      <c r="F43" s="10" t="inlineStr"/>
      <c r="G43" s="10" t="inlineStr">
        <is>
          <t>Chạy cùng tải với 2 → 4 → 8 worker</t>
        </is>
      </c>
      <c r="H43" s="10" t="inlineStr"/>
      <c r="I43" s="10" t="inlineStr">
        <is>
          <t>Thời gian hoàn tất chu kỳ giảm ≥ 40% khi gấp đôi worker (tới khi chạm giới hạn DB)</t>
        </is>
      </c>
      <c r="J43" s="10" t="inlineStr"/>
      <c r="K43" s="10" t="inlineStr">
        <is>
          <t>P1 - Cao</t>
        </is>
      </c>
      <c r="L43" s="10" t="inlineStr">
        <is>
          <t>NFR-SCL-002</t>
        </is>
      </c>
      <c r="M43" s="11" t="inlineStr">
        <is>
          <t>Chưa chạy</t>
        </is>
      </c>
      <c r="N43" s="11" t="inlineStr"/>
      <c r="O43" s="11" t="inlineStr"/>
      <c r="P43" s="11" t="inlineStr"/>
    </row>
    <row r="44">
      <c r="A44" s="10" t="n">
        <v>43</v>
      </c>
      <c r="B44" s="10" t="inlineStr">
        <is>
          <t>TC-PERF-MON-004</t>
        </is>
      </c>
      <c r="C44" s="10" t="inlineStr">
        <is>
          <t>Performance &amp; Scaling</t>
        </is>
      </c>
      <c r="D44" s="10" t="inlineStr">
        <is>
          <t>Performance — Đường ống giám sát</t>
        </is>
      </c>
      <c r="E44" s="10" t="inlineStr">
        <is>
          <t>KEDA tự scale</t>
        </is>
      </c>
      <c r="F44" s="10" t="inlineStr"/>
      <c r="G44" s="10" t="inlineStr">
        <is>
          <t>Bơm 5.000 lệnh quét vào queue</t>
        </is>
      </c>
      <c r="H44" s="10" t="inlineStr"/>
      <c r="I44" s="10" t="inlineStr">
        <is>
          <t>Số pod worker tăng theo độ sâu queue (20 msg/pod), tối đa 30; giảm lại sau `cooldownPeriod`</t>
        </is>
      </c>
      <c r="J44" s="10" t="inlineStr"/>
      <c r="K44" s="10" t="inlineStr">
        <is>
          <t>P1 - Cao</t>
        </is>
      </c>
      <c r="L44" s="10" t="inlineStr">
        <is>
          <t>deployment §4</t>
        </is>
      </c>
      <c r="M44" s="11" t="inlineStr">
        <is>
          <t>Chưa chạy</t>
        </is>
      </c>
      <c r="N44" s="11" t="inlineStr"/>
      <c r="O44" s="11" t="inlineStr"/>
      <c r="P44" s="11" t="inlineStr"/>
    </row>
    <row r="45">
      <c r="A45" s="10" t="n">
        <v>44</v>
      </c>
      <c r="B45" s="10" t="inlineStr">
        <is>
          <t>TC-PERF-MON-005</t>
        </is>
      </c>
      <c r="C45" s="10" t="inlineStr">
        <is>
          <t>Performance &amp; Scaling</t>
        </is>
      </c>
      <c r="D45" s="10" t="inlineStr">
        <is>
          <t>Performance — Đường ống giám sát</t>
        </is>
      </c>
      <c r="E45" s="10" t="inlineStr">
        <is>
          <t>Quy mô 2.000 node</t>
        </is>
      </c>
      <c r="F45" s="10" t="inlineStr"/>
      <c r="G45" s="10" t="inlineStr">
        <is>
          <t>Tăng số node giả lập</t>
        </is>
      </c>
      <c r="H45" s="10" t="inlineStr"/>
      <c r="I45" s="10" t="inlineStr">
        <is>
          <t>Vẫn đạt độ phủ ≥ 99% với ≤ 10 worker</t>
        </is>
      </c>
      <c r="J45" s="10" t="inlineStr"/>
      <c r="K45" s="10" t="inlineStr">
        <is>
          <t>P2 - Trung bình</t>
        </is>
      </c>
      <c r="L45" s="10" t="inlineStr">
        <is>
          <t>NFR-SCL-003</t>
        </is>
      </c>
      <c r="M45" s="11" t="inlineStr">
        <is>
          <t>Chưa chạy</t>
        </is>
      </c>
      <c r="N45" s="11" t="inlineStr"/>
      <c r="O45" s="11" t="inlineStr"/>
      <c r="P45" s="11" t="inlineStr"/>
    </row>
    <row r="46">
      <c r="A46" s="10" t="n">
        <v>45</v>
      </c>
      <c r="B46" s="10" t="inlineStr">
        <is>
          <t>TC-PERF-MON-006</t>
        </is>
      </c>
      <c r="C46" s="10" t="inlineStr">
        <is>
          <t>Performance &amp; Scaling</t>
        </is>
      </c>
      <c r="D46" s="10" t="inlineStr">
        <is>
          <t>Performance — Đường ống giám sát</t>
        </is>
      </c>
      <c r="E46" s="10" t="inlineStr">
        <is>
          <t>Ghi metric 1.000/phút</t>
        </is>
      </c>
      <c r="F46" s="10" t="inlineStr"/>
      <c r="G46" s="10" t="inlineStr">
        <is>
          <t>Bơm event</t>
        </is>
      </c>
      <c r="H46" s="10" t="inlineStr"/>
      <c r="I46" s="10" t="inlineStr">
        <is>
          <t>Queue `metrics.metric-collected` không dồn &gt; 500; CPU pod &lt; 70%</t>
        </is>
      </c>
      <c r="J46" s="10" t="inlineStr"/>
      <c r="K46" s="10" t="inlineStr">
        <is>
          <t>P1 - Cao</t>
        </is>
      </c>
      <c r="L46" s="10" t="inlineStr">
        <is>
          <t>NFR-SCL-005</t>
        </is>
      </c>
      <c r="M46" s="11" t="inlineStr">
        <is>
          <t>Chưa chạy</t>
        </is>
      </c>
      <c r="N46" s="11" t="inlineStr"/>
      <c r="O46" s="11" t="inlineStr"/>
      <c r="P46" s="11" t="inlineStr"/>
    </row>
    <row r="47">
      <c r="A47" s="10" t="n">
        <v>46</v>
      </c>
      <c r="B47" s="10" t="inlineStr">
        <is>
          <t>TC-PERF-MON-007</t>
        </is>
      </c>
      <c r="C47" s="10" t="inlineStr">
        <is>
          <t>Performance &amp; Scaling</t>
        </is>
      </c>
      <c r="D47" s="10" t="inlineStr">
        <is>
          <t>Performance — Đường ống giám sát</t>
        </is>
      </c>
      <c r="E47" s="10" t="inlineStr">
        <is>
          <t>Độ trễ cảnh báo đầu-cuối</t>
        </is>
      </c>
      <c r="F47" s="10" t="inlineStr"/>
      <c r="G47" s="10" t="inlineStr">
        <is>
          <t>Kích hoạt vượt ngưỡng trên 50 node đồng thời</t>
        </is>
      </c>
      <c r="H47" s="10" t="inlineStr"/>
      <c r="I47" s="10" t="inlineStr">
        <is>
          <t>p95 từ `collectedAt` tới lúc email/webhook rời hệ thống ≤ 60 giây</t>
        </is>
      </c>
      <c r="J47" s="10" t="inlineStr"/>
      <c r="K47" s="10" t="inlineStr">
        <is>
          <t>P1 - Cao</t>
        </is>
      </c>
      <c r="L47" s="10" t="inlineStr">
        <is>
          <t>NFR-PERF-010</t>
        </is>
      </c>
      <c r="M47" s="11" t="inlineStr">
        <is>
          <t>Chưa chạy</t>
        </is>
      </c>
      <c r="N47" s="11" t="inlineStr"/>
      <c r="O47" s="11" t="inlineStr"/>
      <c r="P47" s="11" t="inlineStr"/>
    </row>
    <row r="48">
      <c r="A48" s="10" t="n">
        <v>47</v>
      </c>
      <c r="B48" s="10" t="inlineStr">
        <is>
          <t>TC-PERF-MON-008</t>
        </is>
      </c>
      <c r="C48" s="10" t="inlineStr">
        <is>
          <t>Performance &amp; Scaling</t>
        </is>
      </c>
      <c r="D48" s="10" t="inlineStr">
        <is>
          <t>Performance — Đường ống giám sát</t>
        </is>
      </c>
      <c r="E48" s="10" t="inlineStr">
        <is>
          <t>Node chậm không chặn node khác</t>
        </is>
      </c>
      <c r="F48" s="10" t="inlineStr"/>
      <c r="G48" s="10" t="inlineStr">
        <is>
          <t>50 node treo (timeout 30s) + 450 node bình thường</t>
        </is>
      </c>
      <c r="H48" s="10" t="inlineStr"/>
      <c r="I48" s="10" t="inlineStr">
        <is>
          <t>Node bình thường vẫn được quét đúng hạn</t>
        </is>
      </c>
      <c r="J48" s="10" t="inlineStr"/>
      <c r="K48" s="10" t="inlineStr">
        <is>
          <t>P1 - Cao</t>
        </is>
      </c>
      <c r="L48" s="10" t="inlineStr">
        <is>
          <t>NFR-AVL-005</t>
        </is>
      </c>
      <c r="M48" s="11" t="inlineStr">
        <is>
          <t>Chưa chạy</t>
        </is>
      </c>
      <c r="N48" s="11" t="inlineStr"/>
      <c r="O48" s="11" t="inlineStr"/>
      <c r="P48" s="11" t="inlineStr"/>
    </row>
    <row r="49">
      <c r="A49" s="10" t="n">
        <v>48</v>
      </c>
      <c r="B49" s="10" t="inlineStr">
        <is>
          <t>TC-PERF-RTM-001</t>
        </is>
      </c>
      <c r="C49" s="10" t="inlineStr">
        <is>
          <t>Performance &amp; Scaling</t>
        </is>
      </c>
      <c r="D49" s="10" t="inlineStr">
        <is>
          <t>Performance — Realtime &amp; Frontend</t>
        </is>
      </c>
      <c r="E49" s="10" t="inlineStr">
        <is>
          <t>200 kết nối SignalR</t>
        </is>
      </c>
      <c r="F49" s="10" t="inlineStr"/>
      <c r="G49" s="10" t="inlineStr">
        <is>
          <t>Công cụ tạo tải WebSocket</t>
        </is>
      </c>
      <c r="H49" s="10" t="inlineStr"/>
      <c r="I49" s="10" t="inlineStr">
        <is>
          <t>CPU pod &lt; 60%, p95 độ trễ đẩy ≤ 2 giây, 0 kết nối rớt</t>
        </is>
      </c>
      <c r="J49" s="10" t="inlineStr"/>
      <c r="K49" s="10" t="inlineStr">
        <is>
          <t>P1 - Cao</t>
        </is>
      </c>
      <c r="L49" s="10" t="inlineStr">
        <is>
          <t>NFR-SCL-004</t>
        </is>
      </c>
      <c r="M49" s="11" t="inlineStr">
        <is>
          <t>Chưa chạy</t>
        </is>
      </c>
      <c r="N49" s="11" t="inlineStr"/>
      <c r="O49" s="11" t="inlineStr"/>
      <c r="P49" s="11" t="inlineStr"/>
    </row>
    <row r="50">
      <c r="A50" s="10" t="n">
        <v>49</v>
      </c>
      <c r="B50" s="10" t="inlineStr">
        <is>
          <t>TC-PERF-FE-001</t>
        </is>
      </c>
      <c r="C50" s="10" t="inlineStr">
        <is>
          <t>Performance &amp; Scaling</t>
        </is>
      </c>
      <c r="D50" s="10" t="inlineStr">
        <is>
          <t>Performance — Realtime &amp; Frontend</t>
        </is>
      </c>
      <c r="E50" s="10" t="inlineStr">
        <is>
          <t>LCP Dashboard</t>
        </is>
      </c>
      <c r="F50" s="10" t="inlineStr"/>
      <c r="G50" s="10" t="inlineStr">
        <is>
          <t>Lighthouse CI, Fast 3G mô phỏng, 500 node</t>
        </is>
      </c>
      <c r="H50" s="10" t="inlineStr"/>
      <c r="I50" s="10" t="inlineStr">
        <is>
          <t>LCP ≤ 2,5 giây</t>
        </is>
      </c>
      <c r="J50" s="10" t="inlineStr"/>
      <c r="K50" s="10" t="inlineStr">
        <is>
          <t>P1 - Cao</t>
        </is>
      </c>
      <c r="L50" s="10" t="inlineStr">
        <is>
          <t>NFR-PERF-020</t>
        </is>
      </c>
      <c r="M50" s="11" t="inlineStr">
        <is>
          <t>Chưa chạy</t>
        </is>
      </c>
      <c r="N50" s="11" t="inlineStr"/>
      <c r="O50" s="11" t="inlineStr"/>
      <c r="P50" s="11" t="inlineStr"/>
    </row>
    <row r="51">
      <c r="A51" s="10" t="n">
        <v>50</v>
      </c>
      <c r="B51" s="10" t="inlineStr">
        <is>
          <t>TC-PERF-FE-002</t>
        </is>
      </c>
      <c r="C51" s="10" t="inlineStr">
        <is>
          <t>Performance &amp; Scaling</t>
        </is>
      </c>
      <c r="D51" s="10" t="inlineStr">
        <is>
          <t>Performance — Realtime &amp; Frontend</t>
        </is>
      </c>
      <c r="E51" s="10" t="inlineStr">
        <is>
          <t>INP</t>
        </is>
      </c>
      <c r="F51" s="10" t="inlineStr"/>
      <c r="G51" s="10" t="inlineStr">
        <is>
          <t>Lighthouse CI + thao tác lọc/chuyển trang</t>
        </is>
      </c>
      <c r="H51" s="10" t="inlineStr"/>
      <c r="I51" s="10" t="inlineStr">
        <is>
          <t>INP ≤ 200 ms</t>
        </is>
      </c>
      <c r="J51" s="10" t="inlineStr"/>
      <c r="K51" s="10" t="inlineStr">
        <is>
          <t>P1 - Cao</t>
        </is>
      </c>
      <c r="L51" s="10" t="inlineStr">
        <is>
          <t>NFR-PERF-021</t>
        </is>
      </c>
      <c r="M51" s="11" t="inlineStr">
        <is>
          <t>Chưa chạy</t>
        </is>
      </c>
      <c r="N51" s="11" t="inlineStr"/>
      <c r="O51" s="11" t="inlineStr"/>
      <c r="P51" s="11" t="inlineStr"/>
    </row>
    <row r="52">
      <c r="A52" s="10" t="n">
        <v>51</v>
      </c>
      <c r="B52" s="10" t="inlineStr">
        <is>
          <t>TC-PERF-FE-003</t>
        </is>
      </c>
      <c r="C52" s="10" t="inlineStr">
        <is>
          <t>Performance &amp; Scaling</t>
        </is>
      </c>
      <c r="D52" s="10" t="inlineStr">
        <is>
          <t>Performance — Realtime &amp; Frontend</t>
        </is>
      </c>
      <c r="E52" s="10" t="inlineStr">
        <is>
          <t>CLS</t>
        </is>
      </c>
      <c r="F52" s="10" t="inlineStr"/>
      <c r="G52" s="10" t="inlineStr">
        <is>
          <t>Lighthouse CI</t>
        </is>
      </c>
      <c r="H52" s="10" t="inlineStr"/>
      <c r="I52" s="10" t="inlineStr">
        <is>
          <t>≤ 0,1</t>
        </is>
      </c>
      <c r="J52" s="10" t="inlineStr"/>
      <c r="K52" s="10" t="inlineStr">
        <is>
          <t>P2 - Trung bình</t>
        </is>
      </c>
      <c r="L52" s="10" t="inlineStr">
        <is>
          <t>NFR-PERF-022</t>
        </is>
      </c>
      <c r="M52" s="11" t="inlineStr">
        <is>
          <t>Chưa chạy</t>
        </is>
      </c>
      <c r="N52" s="11" t="inlineStr"/>
      <c r="O52" s="11" t="inlineStr"/>
      <c r="P52" s="11" t="inlineStr"/>
    </row>
    <row r="53">
      <c r="A53" s="10" t="n">
        <v>52</v>
      </c>
      <c r="B53" s="10" t="inlineStr">
        <is>
          <t>TC-PERF-FE-004</t>
        </is>
      </c>
      <c r="C53" s="10" t="inlineStr">
        <is>
          <t>Performance &amp; Scaling</t>
        </is>
      </c>
      <c r="D53" s="10" t="inlineStr">
        <is>
          <t>Performance — Realtime &amp; Frontend</t>
        </is>
      </c>
      <c r="E53" s="10" t="inlineStr">
        <is>
          <t>Kích thước bundle</t>
        </is>
      </c>
      <c r="F53" s="10" t="inlineStr"/>
      <c r="G53" s="10" t="inlineStr">
        <is>
          <t>Script kiểm tra sau `vite build`</t>
        </is>
      </c>
      <c r="H53" s="10" t="inlineStr"/>
      <c r="I53" s="10" t="inlineStr">
        <is>
          <t>JS khởi tạo ≤ 250 KB gzip; tổng trên Dashboard ≤ 450 KB</t>
        </is>
      </c>
      <c r="J53" s="10" t="inlineStr"/>
      <c r="K53" s="10" t="inlineStr">
        <is>
          <t>P1 - Cao</t>
        </is>
      </c>
      <c r="L53" s="10" t="inlineStr">
        <is>
          <t>NFR-PERF-023</t>
        </is>
      </c>
      <c r="M53" s="11" t="inlineStr">
        <is>
          <t>Chưa chạy</t>
        </is>
      </c>
      <c r="N53" s="11" t="inlineStr"/>
      <c r="O53" s="11" t="inlineStr"/>
      <c r="P53" s="11" t="inlineStr"/>
    </row>
    <row r="54">
      <c r="A54" s="10" t="n">
        <v>53</v>
      </c>
      <c r="B54" s="10" t="inlineStr">
        <is>
          <t>TC-PERF-FE-005</t>
        </is>
      </c>
      <c r="C54" s="10" t="inlineStr">
        <is>
          <t>Performance &amp; Scaling</t>
        </is>
      </c>
      <c r="D54" s="10" t="inlineStr">
        <is>
          <t>Performance — Realtime &amp; Frontend</t>
        </is>
      </c>
      <c r="E54" s="10" t="inlineStr">
        <is>
          <t>Bảng 1.000 dòng</t>
        </is>
      </c>
      <c r="F54" s="10" t="inlineStr"/>
      <c r="G54" s="10" t="inlineStr">
        <is>
          <t>Playwright trace khi cuộn</t>
        </is>
      </c>
      <c r="H54" s="10" t="inlineStr"/>
      <c r="I54" s="10" t="inlineStr">
        <is>
          <t>≥ 50 fps, không tác vụ dài &gt; 50 ms</t>
        </is>
      </c>
      <c r="J54" s="10" t="inlineStr"/>
      <c r="K54" s="10" t="inlineStr">
        <is>
          <t>P2 - Trung bình</t>
        </is>
      </c>
      <c r="L54" s="10" t="inlineStr">
        <is>
          <t>NFR-PERF-024</t>
        </is>
      </c>
      <c r="M54" s="11" t="inlineStr">
        <is>
          <t>Chưa chạy</t>
        </is>
      </c>
      <c r="N54" s="11" t="inlineStr"/>
      <c r="O54" s="11" t="inlineStr"/>
      <c r="P54" s="11" t="inlineStr"/>
    </row>
    <row r="55">
      <c r="A55" s="10" t="n">
        <v>54</v>
      </c>
      <c r="B55" s="10" t="inlineStr">
        <is>
          <t>TC-PERF-FE-006</t>
        </is>
      </c>
      <c r="C55" s="10" t="inlineStr">
        <is>
          <t>Performance &amp; Scaling</t>
        </is>
      </c>
      <c r="D55" s="10" t="inlineStr">
        <is>
          <t>Performance — Realtime &amp; Frontend</t>
        </is>
      </c>
      <c r="E55" s="10" t="inlineStr">
        <is>
          <t>Số request khi mở Dashboard</t>
        </is>
      </c>
      <c r="F55" s="10" t="inlineStr"/>
      <c r="G55" s="10" t="inlineStr">
        <is>
          <t>Playwright network assert</t>
        </is>
      </c>
      <c r="H55" s="10" t="inlineStr"/>
      <c r="I55" s="10" t="inlineStr">
        <is>
          <t>≤ 6 request</t>
        </is>
      </c>
      <c r="J55" s="10" t="inlineStr"/>
      <c r="K55" s="10" t="inlineStr">
        <is>
          <t>P1 - Cao</t>
        </is>
      </c>
      <c r="L55" s="10" t="inlineStr">
        <is>
          <t>FR-MET-FE-002</t>
        </is>
      </c>
      <c r="M55" s="11" t="inlineStr">
        <is>
          <t>Chưa chạy</t>
        </is>
      </c>
      <c r="N55" s="11" t="inlineStr"/>
      <c r="O55" s="11" t="inlineStr"/>
      <c r="P55" s="11" t="inlineStr"/>
    </row>
    <row r="56">
      <c r="A56" s="10" t="n">
        <v>55</v>
      </c>
      <c r="B56" s="10" t="inlineStr">
        <is>
          <t>TC-PERF-FE-007</t>
        </is>
      </c>
      <c r="C56" s="10" t="inlineStr">
        <is>
          <t>Performance &amp; Scaling</t>
        </is>
      </c>
      <c r="D56" s="10" t="inlineStr">
        <is>
          <t>Performance — Realtime &amp; Frontend</t>
        </is>
      </c>
      <c r="E56" s="10" t="inlineStr">
        <is>
          <t>Chart 30 ngày</t>
        </is>
      </c>
      <c r="F56" s="10" t="inlineStr"/>
      <c r="G56" s="10" t="inlineStr">
        <is>
          <t>Đo thời gian render</t>
        </is>
      </c>
      <c r="H56" s="10" t="inlineStr"/>
      <c r="I56" s="10" t="inlineStr">
        <is>
          <t>≤ 500 điểm, render &lt; 300 ms</t>
        </is>
      </c>
      <c r="J56" s="10" t="inlineStr"/>
      <c r="K56" s="10" t="inlineStr">
        <is>
          <t>P2 - Trung bình</t>
        </is>
      </c>
      <c r="L56" s="10" t="inlineStr">
        <is>
          <t>FR-MET-FE-006</t>
        </is>
      </c>
      <c r="M56" s="11" t="inlineStr">
        <is>
          <t>Chưa chạy</t>
        </is>
      </c>
      <c r="N56" s="11" t="inlineStr"/>
      <c r="O56" s="11" t="inlineStr"/>
      <c r="P56" s="11" t="inlineStr"/>
    </row>
    <row r="57">
      <c r="A57" s="10" t="n">
        <v>56</v>
      </c>
      <c r="B57" s="10" t="inlineStr">
        <is>
          <t>TC-PERF-CHA-001</t>
        </is>
      </c>
      <c r="C57" s="10" t="inlineStr">
        <is>
          <t>Performance &amp; Scaling</t>
        </is>
      </c>
      <c r="D57" s="10" t="inlineStr">
        <is>
          <t>Performance — Chịu lỗi (chaos)</t>
        </is>
      </c>
      <c r="E57" s="10" t="inlineStr">
        <is>
          <t>Kill worker giữa chừng</t>
        </is>
      </c>
      <c r="F57" s="10" t="inlineStr"/>
      <c r="G57" s="10" t="inlineStr">
        <is>
          <t>`kubectl delete pod` worker khi đang quét</t>
        </is>
      </c>
      <c r="H57" s="10" t="inlineStr"/>
      <c r="I57" s="10" t="inlineStr">
        <is>
          <t>Message chưa ack được xử lý lại; không mất lệnh, không trùng snapshot</t>
        </is>
      </c>
      <c r="J57" s="10" t="inlineStr"/>
      <c r="K57" s="10" t="inlineStr">
        <is>
          <t>P1 - Cao</t>
        </is>
      </c>
      <c r="L57" s="10" t="inlineStr">
        <is>
          <t>NFR-AVL-002, 003</t>
        </is>
      </c>
      <c r="M57" s="11" t="inlineStr">
        <is>
          <t>Chưa chạy</t>
        </is>
      </c>
      <c r="N57" s="11" t="inlineStr"/>
      <c r="O57" s="11" t="inlineStr"/>
      <c r="P57" s="11" t="inlineStr"/>
    </row>
    <row r="58">
      <c r="A58" s="10" t="n">
        <v>57</v>
      </c>
      <c r="B58" s="10" t="inlineStr">
        <is>
          <t>TC-PERF-CHA-002</t>
        </is>
      </c>
      <c r="C58" s="10" t="inlineStr">
        <is>
          <t>Performance &amp; Scaling</t>
        </is>
      </c>
      <c r="D58" s="10" t="inlineStr">
        <is>
          <t>Performance — Chịu lỗi (chaos)</t>
        </is>
      </c>
      <c r="E58" s="10" t="inlineStr">
        <is>
          <t>RabbitMQ ngừng 10 phút</t>
        </is>
      </c>
      <c r="F58" s="10" t="inlineStr"/>
      <c r="G58" s="10" t="inlineStr">
        <is>
          <t>Dừng broker rồi bật lại</t>
        </is>
      </c>
      <c r="H58" s="10" t="inlineStr"/>
      <c r="I58" s="10" t="inlineStr">
        <is>
          <t>Outbox giữ event; sau khi phục hồi, mọi event được phát; không mất cảnh báo</t>
        </is>
      </c>
      <c r="J58" s="10" t="inlineStr"/>
      <c r="K58" s="10" t="inlineStr">
        <is>
          <t>P1 - Cao</t>
        </is>
      </c>
      <c r="L58" s="10" t="inlineStr">
        <is>
          <t>NFR-AVL-004</t>
        </is>
      </c>
      <c r="M58" s="11" t="inlineStr">
        <is>
          <t>Chưa chạy</t>
        </is>
      </c>
      <c r="N58" s="11" t="inlineStr"/>
      <c r="O58" s="11" t="inlineStr"/>
      <c r="P58" s="11" t="inlineStr"/>
    </row>
    <row r="59">
      <c r="A59" s="10" t="n">
        <v>58</v>
      </c>
      <c r="B59" s="10" t="inlineStr">
        <is>
          <t>TC-PERF-CHA-003</t>
        </is>
      </c>
      <c r="C59" s="10" t="inlineStr">
        <is>
          <t>Performance &amp; Scaling</t>
        </is>
      </c>
      <c r="D59" s="10" t="inlineStr">
        <is>
          <t>Performance — Chịu lỗi (chaos)</t>
        </is>
      </c>
      <c r="E59" s="10" t="inlineStr">
        <is>
          <t>SQL Server ngắt kết nối tạm</t>
        </is>
      </c>
      <c r="F59" s="10" t="inlineStr"/>
      <c r="G59" s="10" t="inlineStr">
        <is>
          <t>Restart container DB</t>
        </is>
      </c>
      <c r="H59" s="10" t="inlineStr"/>
      <c r="I59" s="10" t="inlineStr">
        <is>
          <t>Service retry, health `ready` = false trong lúc mất DB, tự phục hồi</t>
        </is>
      </c>
      <c r="J59" s="10" t="inlineStr"/>
      <c r="K59" s="10" t="inlineStr">
        <is>
          <t>P1 - Cao</t>
        </is>
      </c>
      <c r="L59" s="10" t="inlineStr">
        <is>
          <t>NFR-AVL-004</t>
        </is>
      </c>
      <c r="M59" s="11" t="inlineStr">
        <is>
          <t>Chưa chạy</t>
        </is>
      </c>
      <c r="N59" s="11" t="inlineStr"/>
      <c r="O59" s="11" t="inlineStr"/>
      <c r="P59" s="11" t="inlineStr"/>
    </row>
    <row r="60">
      <c r="A60" s="10" t="n">
        <v>59</v>
      </c>
      <c r="B60" s="10" t="inlineStr">
        <is>
          <t>TC-PERF-CHA-004</t>
        </is>
      </c>
      <c r="C60" s="10" t="inlineStr">
        <is>
          <t>Performance &amp; Scaling</t>
        </is>
      </c>
      <c r="D60" s="10" t="inlineStr">
        <is>
          <t>Performance — Chịu lỗi (chaos)</t>
        </is>
      </c>
      <c r="E60" s="10" t="inlineStr">
        <is>
          <t>Redis ngừng</t>
        </is>
      </c>
      <c r="F60" s="10" t="inlineStr"/>
      <c r="G60" s="10" t="inlineStr">
        <is>
          <t>Dừng Redis</t>
        </is>
      </c>
      <c r="H60" s="10" t="inlineStr"/>
      <c r="I60" s="10" t="inlineStr">
        <is>
          <t>Rate limit chuyển chế độ dự phòng, SignalR vẫn hoạt động trong từng instance, không sập</t>
        </is>
      </c>
      <c r="J60" s="10" t="inlineStr"/>
      <c r="K60" s="10" t="inlineStr">
        <is>
          <t>P2 - Trung bình</t>
        </is>
      </c>
      <c r="L60" s="10" t="inlineStr">
        <is>
          <t>UC-RTM-01/E4</t>
        </is>
      </c>
      <c r="M60" s="11" t="inlineStr">
        <is>
          <t>Chưa chạy</t>
        </is>
      </c>
      <c r="N60" s="11" t="inlineStr"/>
      <c r="O60" s="11" t="inlineStr"/>
      <c r="P60" s="11" t="inlineStr"/>
    </row>
    <row r="61">
      <c r="A61" s="10" t="n">
        <v>60</v>
      </c>
      <c r="B61" s="10" t="inlineStr">
        <is>
          <t>TC-PERF-CHA-005</t>
        </is>
      </c>
      <c r="C61" s="10" t="inlineStr">
        <is>
          <t>Performance &amp; Scaling</t>
        </is>
      </c>
      <c r="D61" s="10" t="inlineStr">
        <is>
          <t>Performance — Chịu lỗi (chaos)</t>
        </is>
      </c>
      <c r="E61" s="10" t="inlineStr">
        <is>
          <t>SMTP ngừng</t>
        </is>
      </c>
      <c r="F61" s="10" t="inlineStr"/>
      <c r="G61" s="10" t="inlineStr">
        <is>
          <t>Dừng MailHog 10 phút</t>
        </is>
      </c>
      <c r="H61" s="10" t="inlineStr"/>
      <c r="I61" s="10" t="inlineStr">
        <is>
          <t>Cảnh báo retry rồi vào DLQ; sau khi phục hồi, gửi lại thành công qua resend</t>
        </is>
      </c>
      <c r="J61" s="10" t="inlineStr"/>
      <c r="K61" s="10" t="inlineStr">
        <is>
          <t>P1 - Cao</t>
        </is>
      </c>
      <c r="L61" s="10" t="inlineStr">
        <is>
          <t>NFR-AVL-004</t>
        </is>
      </c>
      <c r="M61" s="11" t="inlineStr">
        <is>
          <t>Chưa chạy</t>
        </is>
      </c>
      <c r="N61" s="11" t="inlineStr"/>
      <c r="O61" s="11" t="inlineStr"/>
      <c r="P61" s="11" t="inlineStr"/>
    </row>
    <row r="62">
      <c r="A62" s="10" t="n">
        <v>61</v>
      </c>
      <c r="B62" s="10" t="inlineStr">
        <is>
          <t>TC-PERF-CHA-006</t>
        </is>
      </c>
      <c r="C62" s="10" t="inlineStr">
        <is>
          <t>Performance &amp; Scaling</t>
        </is>
      </c>
      <c r="D62" s="10" t="inlineStr">
        <is>
          <t>Performance — Chịu lỗi (chaos)</t>
        </is>
      </c>
      <c r="E62" s="10" t="inlineStr">
        <is>
          <t>Inventory ngừng</t>
        </is>
      </c>
      <c r="F62" s="10" t="inlineStr"/>
      <c r="G62" s="10" t="inlineStr">
        <is>
          <t>Dừng service 5 phút</t>
        </is>
      </c>
      <c r="H62" s="10" t="inlineStr"/>
      <c r="I62" s="10" t="inlineStr">
        <is>
          <t>Worker mở circuit breaker, lệnh quét retry; sau phục hồi, chu kỳ trở lại bình thường</t>
        </is>
      </c>
      <c r="J62" s="10" t="inlineStr"/>
      <c r="K62" s="10" t="inlineStr">
        <is>
          <t>P1 - Cao</t>
        </is>
      </c>
      <c r="L62" s="10" t="inlineStr">
        <is>
          <t>SRS INV §10</t>
        </is>
      </c>
      <c r="M62" s="11" t="inlineStr">
        <is>
          <t>Chưa chạy</t>
        </is>
      </c>
      <c r="N62" s="11" t="inlineStr"/>
      <c r="O62" s="11" t="inlineStr"/>
      <c r="P62" s="11" t="inlineStr"/>
    </row>
    <row r="63">
      <c r="A63" s="10" t="n">
        <v>62</v>
      </c>
      <c r="B63" s="10" t="inlineStr">
        <is>
          <t>TC-PERF-CHA-007</t>
        </is>
      </c>
      <c r="C63" s="10" t="inlineStr">
        <is>
          <t>Performance &amp; Scaling</t>
        </is>
      </c>
      <c r="D63" s="10" t="inlineStr">
        <is>
          <t>Performance — Chịu lỗi (chaos)</t>
        </is>
      </c>
      <c r="E63" s="10" t="inlineStr">
        <is>
          <t>Mất một replica Gateway</t>
        </is>
      </c>
      <c r="F63" s="10" t="inlineStr"/>
      <c r="G63" s="10" t="inlineStr">
        <is>
          <t>Xóa 1 trong 2 pod</t>
        </is>
      </c>
      <c r="H63" s="10" t="inlineStr"/>
      <c r="I63" s="10" t="inlineStr">
        <is>
          <t>Không request nào lỗi (PDB + readiness)</t>
        </is>
      </c>
      <c r="J63" s="10" t="inlineStr"/>
      <c r="K63" s="10" t="inlineStr">
        <is>
          <t>P1 - Cao</t>
        </is>
      </c>
      <c r="L63" s="10" t="inlineStr">
        <is>
          <t>NFR-AVL-008</t>
        </is>
      </c>
      <c r="M63" s="11" t="inlineStr">
        <is>
          <t>Chưa chạy</t>
        </is>
      </c>
      <c r="N63" s="11" t="inlineStr"/>
      <c r="O63" s="11" t="inlineStr"/>
      <c r="P63" s="11" t="inlineStr"/>
    </row>
    <row r="64">
      <c r="A64" s="10" t="n">
        <v>63</v>
      </c>
      <c r="B64" s="10" t="inlineStr">
        <is>
          <t>TC-PERF-CHA-008</t>
        </is>
      </c>
      <c r="C64" s="10" t="inlineStr">
        <is>
          <t>Performance &amp; Scaling</t>
        </is>
      </c>
      <c r="D64" s="10" t="inlineStr">
        <is>
          <t>Performance — Chịu lỗi (chaos)</t>
        </is>
      </c>
      <c r="E64" s="10" t="inlineStr">
        <is>
          <t>Hai scheduler cùng chạy</t>
        </is>
      </c>
      <c r="F64" s="10" t="inlineStr"/>
      <c r="G64" s="10" t="inlineStr">
        <is>
          <t>Scale scheduler lên 3</t>
        </is>
      </c>
      <c r="H64" s="10" t="inlineStr"/>
      <c r="I64" s="10" t="inlineStr">
        <is>
          <t>Không có lệnh quét trùng</t>
        </is>
      </c>
      <c r="J64" s="10" t="inlineStr"/>
      <c r="K64" s="10" t="inlineStr">
        <is>
          <t>P1 - Cao</t>
        </is>
      </c>
      <c r="L64" s="10" t="inlineStr">
        <is>
          <t>NFR-AVL-006</t>
        </is>
      </c>
      <c r="M64" s="11" t="inlineStr">
        <is>
          <t>Chưa chạy</t>
        </is>
      </c>
      <c r="N64" s="11" t="inlineStr"/>
      <c r="O64" s="11" t="inlineStr"/>
      <c r="P64" s="11" t="inlineStr"/>
    </row>
    <row r="65">
      <c r="A65" s="10" t="n">
        <v>64</v>
      </c>
      <c r="B65" s="10" t="inlineStr">
        <is>
          <t>TC-PERF-CHA-009</t>
        </is>
      </c>
      <c r="C65" s="10" t="inlineStr">
        <is>
          <t>Performance &amp; Scaling</t>
        </is>
      </c>
      <c r="D65" s="10" t="inlineStr">
        <is>
          <t>Performance — Chịu lỗi (chaos)</t>
        </is>
      </c>
      <c r="E65" s="10" t="inlineStr">
        <is>
          <t>Độ trễ mạng SSH cao</t>
        </is>
      </c>
      <c r="F65" s="10" t="inlineStr"/>
      <c r="G65" s="10" t="inlineStr">
        <is>
          <t>Thêm 2 giây độ trễ</t>
        </is>
      </c>
      <c r="H65" s="10" t="inlineStr"/>
      <c r="I65" s="10" t="inlineStr">
        <is>
          <t>Quét vẫn thành công trong timeout; độ phủ chu kỳ giảm nhưng KEDA bù bằng worker</t>
        </is>
      </c>
      <c r="J65" s="10" t="inlineStr"/>
      <c r="K65" s="10" t="inlineStr">
        <is>
          <t>P2 - Trung bình</t>
        </is>
      </c>
      <c r="L65" s="10" t="inlineStr">
        <is>
          <t>NFR-PERF-005</t>
        </is>
      </c>
      <c r="M65" s="11" t="inlineStr">
        <is>
          <t>Chưa chạy</t>
        </is>
      </c>
      <c r="N65" s="11" t="inlineStr"/>
      <c r="O65" s="11" t="inlineStr"/>
      <c r="P65" s="11" t="inlineStr"/>
    </row>
    <row r="66">
      <c r="A66" s="10" t="n">
        <v>65</v>
      </c>
      <c r="B66" s="10" t="inlineStr">
        <is>
          <t>TC-PERF-CHA-010</t>
        </is>
      </c>
      <c r="C66" s="10" t="inlineStr">
        <is>
          <t>Performance &amp; Scaling</t>
        </is>
      </c>
      <c r="D66" s="10" t="inlineStr">
        <is>
          <t>Performance — Chịu lỗi (chaos)</t>
        </is>
      </c>
      <c r="E66" s="10" t="inlineStr">
        <is>
          <t>Khôi phục từ backup</t>
        </is>
      </c>
      <c r="F66" s="10" t="inlineStr"/>
      <c r="G66" s="10" t="inlineStr">
        <is>
          <t>Restore `soe_incident` từ bản sao lưu</t>
        </is>
      </c>
      <c r="H66" s="10" t="inlineStr"/>
      <c r="I66" s="10" t="inlineStr">
        <is>
          <t>Dữ liệu đúng tới RPO 15 phút; chuỗi hash audit còn nguyên vẹn</t>
        </is>
      </c>
      <c r="J66" s="10" t="inlineStr"/>
      <c r="K66" s="10" t="inlineStr">
        <is>
          <t>P2 - Trung bình</t>
        </is>
      </c>
      <c r="L66" s="10" t="inlineStr">
        <is>
          <t>NFR-AVL-007</t>
        </is>
      </c>
      <c r="M66" s="11" t="inlineStr">
        <is>
          <t>Chưa chạy</t>
        </is>
      </c>
      <c r="N66" s="11" t="inlineStr"/>
      <c r="O66" s="11" t="inlineStr"/>
      <c r="P66" s="11" t="inlineStr"/>
    </row>
    <row r="67">
      <c r="A67" s="10" t="n">
        <v>66</v>
      </c>
      <c r="B67" s="10" t="inlineStr">
        <is>
          <t>TC-SEC-API1-001</t>
        </is>
      </c>
      <c r="C67" s="10" t="inlineStr">
        <is>
          <t>Security</t>
        </is>
      </c>
      <c r="D67" s="10" t="inlineStr">
        <is>
          <t>Security — OWASP API Security Top 10</t>
        </is>
      </c>
      <c r="E67" s="10" t="inlineStr">
        <is>
          <t>BOLA</t>
        </is>
      </c>
      <c r="F67" s="10" t="inlineStr"/>
      <c r="G67" s="10" t="inlineStr">
        <is>
          <t>Đăng nhập VIEWER, gọi `PUT /nodes/{id}`, `DELETE /nodes/{id}`, `PUT /incidents/{id}/resolve` với id hợp lệ</t>
        </is>
      </c>
      <c r="H67" s="10" t="inlineStr"/>
      <c r="I67" s="10" t="inlineStr">
        <is>
          <t>Tất cả trả 403, không có thay đổi dữ liệu</t>
        </is>
      </c>
      <c r="J67" s="10" t="inlineStr"/>
      <c r="K67" s="10" t="inlineStr">
        <is>
          <t>P1 - Cao</t>
        </is>
      </c>
      <c r="L67" s="10" t="inlineStr">
        <is>
          <t>OWASP API1</t>
        </is>
      </c>
      <c r="M67" s="11" t="inlineStr">
        <is>
          <t>Chưa chạy</t>
        </is>
      </c>
      <c r="N67" s="11" t="inlineStr"/>
      <c r="O67" s="11" t="inlineStr"/>
      <c r="P67" s="11" t="inlineStr"/>
    </row>
    <row r="68">
      <c r="A68" s="10" t="n">
        <v>67</v>
      </c>
      <c r="B68" s="10" t="inlineStr">
        <is>
          <t>TC-SEC-API1-002</t>
        </is>
      </c>
      <c r="C68" s="10" t="inlineStr">
        <is>
          <t>Security</t>
        </is>
      </c>
      <c r="D68" s="10" t="inlineStr">
        <is>
          <t>Security — OWASP API Security Top 10</t>
        </is>
      </c>
      <c r="E68" s="10" t="inlineStr">
        <is>
          <t>BOLA — đoán định danh</t>
        </is>
      </c>
      <c r="F68" s="10" t="inlineStr"/>
      <c r="G68" s="10" t="inlineStr">
        <is>
          <t>Thử liệt kê id tuần tự (`1`, `2`, `3`)</t>
        </is>
      </c>
      <c r="H68" s="10" t="inlineStr"/>
      <c r="I68" s="10" t="inlineStr">
        <is>
          <t>Không tồn tại id dạng số; GUID v7 không đoán được bản ghi của người khác</t>
        </is>
      </c>
      <c r="J68" s="10" t="inlineStr"/>
      <c r="K68" s="10" t="inlineStr">
        <is>
          <t>P1 - Cao</t>
        </is>
      </c>
      <c r="L68" s="10" t="inlineStr">
        <is>
          <t>D-ID</t>
        </is>
      </c>
      <c r="M68" s="11" t="inlineStr">
        <is>
          <t>Chưa chạy</t>
        </is>
      </c>
      <c r="N68" s="11" t="inlineStr"/>
      <c r="O68" s="11" t="inlineStr"/>
      <c r="P68" s="11" t="inlineStr"/>
    </row>
    <row r="69">
      <c r="A69" s="10" t="n">
        <v>68</v>
      </c>
      <c r="B69" s="10" t="inlineStr">
        <is>
          <t>TC-SEC-API2-001</t>
        </is>
      </c>
      <c r="C69" s="10" t="inlineStr">
        <is>
          <t>Security</t>
        </is>
      </c>
      <c r="D69" s="10" t="inlineStr">
        <is>
          <t>Security — OWASP API Security Top 10</t>
        </is>
      </c>
      <c r="E69" s="10" t="inlineStr">
        <is>
          <t>Brute force</t>
        </is>
      </c>
      <c r="F69" s="10" t="inlineStr"/>
      <c r="G69" s="10" t="inlineStr">
        <is>
          <t>Gửi 100 lần login sai từ 1 IP</t>
        </is>
      </c>
      <c r="H69" s="10" t="inlineStr"/>
      <c r="I69" s="10" t="inlineStr">
        <is>
          <t>Bị chặn bởi rate limit và khóa tài khoản; hệ thống vẫn phục vụ người dùng khác</t>
        </is>
      </c>
      <c r="J69" s="10" t="inlineStr"/>
      <c r="K69" s="10" t="inlineStr">
        <is>
          <t>P1 - Cao</t>
        </is>
      </c>
      <c r="L69" s="10" t="inlineStr">
        <is>
          <t>NFR-SEC-006</t>
        </is>
      </c>
      <c r="M69" s="11" t="inlineStr">
        <is>
          <t>Chưa chạy</t>
        </is>
      </c>
      <c r="N69" s="11" t="inlineStr"/>
      <c r="O69" s="11" t="inlineStr"/>
      <c r="P69" s="11" t="inlineStr"/>
    </row>
    <row r="70">
      <c r="A70" s="10" t="n">
        <v>69</v>
      </c>
      <c r="B70" s="10" t="inlineStr">
        <is>
          <t>TC-SEC-API2-002</t>
        </is>
      </c>
      <c r="C70" s="10" t="inlineStr">
        <is>
          <t>Security</t>
        </is>
      </c>
      <c r="D70" s="10" t="inlineStr">
        <is>
          <t>Security — OWASP API Security Top 10</t>
        </is>
      </c>
      <c r="E70" s="10" t="inlineStr">
        <is>
          <t>Token không bị thu hồi</t>
        </is>
      </c>
      <c r="F70" s="10" t="inlineStr"/>
      <c r="G70" s="10" t="inlineStr">
        <is>
          <t>Đăng xuất rồi dùng lại access token cũ</t>
        </is>
      </c>
      <c r="H70" s="10" t="inlineStr"/>
      <c r="I70" s="10" t="inlineStr">
        <is>
          <t>Bị từ chối tối đa sau 15 phút; refresh token bị thu hồi ngay</t>
        </is>
      </c>
      <c r="J70" s="10" t="inlineStr"/>
      <c r="K70" s="10" t="inlineStr">
        <is>
          <t>P1 - Cao</t>
        </is>
      </c>
      <c r="L70" s="10" t="inlineStr">
        <is>
          <t>NFR-SEC-005</t>
        </is>
      </c>
      <c r="M70" s="11" t="inlineStr">
        <is>
          <t>Chưa chạy</t>
        </is>
      </c>
      <c r="N70" s="11" t="inlineStr"/>
      <c r="O70" s="11" t="inlineStr"/>
      <c r="P70" s="11" t="inlineStr"/>
    </row>
    <row r="71">
      <c r="A71" s="10" t="n">
        <v>70</v>
      </c>
      <c r="B71" s="10" t="inlineStr">
        <is>
          <t>TC-SEC-API2-003</t>
        </is>
      </c>
      <c r="C71" s="10" t="inlineStr">
        <is>
          <t>Security</t>
        </is>
      </c>
      <c r="D71" s="10" t="inlineStr">
        <is>
          <t>Security — OWASP API Security Top 10</t>
        </is>
      </c>
      <c r="E71" s="10" t="inlineStr">
        <is>
          <t>Refresh token bị đánh cắp</t>
        </is>
      </c>
      <c r="F71" s="10" t="inlineStr"/>
      <c r="G71" s="10" t="inlineStr">
        <is>
          <t>Dùng lại token đã rotate</t>
        </is>
      </c>
      <c r="H71" s="10" t="inlineStr"/>
      <c r="I71" s="10" t="inlineStr">
        <is>
          <t>Cả chuỗi token bị thu hồi, ghi `TOKEN_REUSE_DETECTED`</t>
        </is>
      </c>
      <c r="J71" s="10" t="inlineStr"/>
      <c r="K71" s="10" t="inlineStr">
        <is>
          <t>P1 - Cao</t>
        </is>
      </c>
      <c r="L71" s="10" t="inlineStr">
        <is>
          <t>FR-IDN-003</t>
        </is>
      </c>
      <c r="M71" s="11" t="inlineStr">
        <is>
          <t>Chưa chạy</t>
        </is>
      </c>
      <c r="N71" s="11" t="inlineStr"/>
      <c r="O71" s="11" t="inlineStr"/>
      <c r="P71" s="11" t="inlineStr"/>
    </row>
    <row r="72">
      <c r="A72" s="10" t="n">
        <v>71</v>
      </c>
      <c r="B72" s="10" t="inlineStr">
        <is>
          <t>TC-SEC-API3-001</t>
        </is>
      </c>
      <c r="C72" s="10" t="inlineStr">
        <is>
          <t>Security</t>
        </is>
      </c>
      <c r="D72" s="10" t="inlineStr">
        <is>
          <t>Security — OWASP API Security Top 10</t>
        </is>
      </c>
      <c r="E72" s="10" t="inlineStr">
        <is>
          <t>Lộ thuộc tính nhạy cảm</t>
        </is>
      </c>
      <c r="F72" s="10" t="inlineStr"/>
      <c r="G72" s="10" t="inlineStr">
        <is>
          <t>Gọi mọi endpoint GET và rà soát response</t>
        </is>
      </c>
      <c r="H72" s="10" t="inlineStr"/>
      <c r="I72" s="10" t="inlineStr">
        <is>
          <t>Không có `passwordHash`, `secretCipher`, `sshKey`, `smtpPassword`</t>
        </is>
      </c>
      <c r="J72" s="10" t="inlineStr"/>
      <c r="K72" s="10" t="inlineStr">
        <is>
          <t>P1 - Cao</t>
        </is>
      </c>
      <c r="L72" s="10" t="inlineStr">
        <is>
          <t>OWASP API3</t>
        </is>
      </c>
      <c r="M72" s="11" t="inlineStr">
        <is>
          <t>Chưa chạy</t>
        </is>
      </c>
      <c r="N72" s="11" t="inlineStr"/>
      <c r="O72" s="11" t="inlineStr"/>
      <c r="P72" s="11" t="inlineStr"/>
    </row>
    <row r="73">
      <c r="A73" s="10" t="n">
        <v>72</v>
      </c>
      <c r="B73" s="10" t="inlineStr">
        <is>
          <t>TC-SEC-API3-002</t>
        </is>
      </c>
      <c r="C73" s="10" t="inlineStr">
        <is>
          <t>Security</t>
        </is>
      </c>
      <c r="D73" s="10" t="inlineStr">
        <is>
          <t>Security — OWASP API Security Top 10</t>
        </is>
      </c>
      <c r="E73" s="10" t="inlineStr">
        <is>
          <t>Mass assignment</t>
        </is>
      </c>
      <c r="F73" s="10" t="inlineStr"/>
      <c r="G73" s="10" t="inlineStr">
        <is>
          <t>POST/PUT kèm trường ngoài hợp đồng (`role`, `isAdmin`, `createdAt`)</t>
        </is>
      </c>
      <c r="H73" s="10" t="inlineStr"/>
      <c r="I73" s="10" t="inlineStr">
        <is>
          <t>400, hoặc trường bị bỏ qua hoàn toàn</t>
        </is>
      </c>
      <c r="J73" s="10" t="inlineStr"/>
      <c r="K73" s="10" t="inlineStr">
        <is>
          <t>P1 - Cao</t>
        </is>
      </c>
      <c r="L73" s="10" t="inlineStr">
        <is>
          <t>OWASP API3</t>
        </is>
      </c>
      <c r="M73" s="11" t="inlineStr">
        <is>
          <t>Chưa chạy</t>
        </is>
      </c>
      <c r="N73" s="11" t="inlineStr"/>
      <c r="O73" s="11" t="inlineStr"/>
      <c r="P73" s="11" t="inlineStr"/>
    </row>
    <row r="74">
      <c r="A74" s="10" t="n">
        <v>73</v>
      </c>
      <c r="B74" s="10" t="inlineStr">
        <is>
          <t>TC-SEC-API4-001</t>
        </is>
      </c>
      <c r="C74" s="10" t="inlineStr">
        <is>
          <t>Security</t>
        </is>
      </c>
      <c r="D74" s="10" t="inlineStr">
        <is>
          <t>Security — OWASP API Security Top 10</t>
        </is>
      </c>
      <c r="E74" s="10" t="inlineStr">
        <is>
          <t>Truy vấn khổng lồ</t>
        </is>
      </c>
      <c r="F74" s="10" t="inlineStr"/>
      <c r="G74" s="10" t="inlineStr">
        <is>
          <t>`GET /incidents?pageSize=100000`, `metrics?range=10y`</t>
        </is>
      </c>
      <c r="H74" s="10" t="inlineStr"/>
      <c r="I74" s="10" t="inlineStr">
        <is>
          <t>400 hoặc tự giới hạn; không làm nghẽn DB</t>
        </is>
      </c>
      <c r="J74" s="10" t="inlineStr"/>
      <c r="K74" s="10" t="inlineStr">
        <is>
          <t>P1 - Cao</t>
        </is>
      </c>
      <c r="L74" s="10" t="inlineStr">
        <is>
          <t>OWASP API4</t>
        </is>
      </c>
      <c r="M74" s="11" t="inlineStr">
        <is>
          <t>Chưa chạy</t>
        </is>
      </c>
      <c r="N74" s="11" t="inlineStr"/>
      <c r="O74" s="11" t="inlineStr"/>
      <c r="P74" s="11" t="inlineStr"/>
    </row>
    <row r="75">
      <c r="A75" s="10" t="n">
        <v>74</v>
      </c>
      <c r="B75" s="10" t="inlineStr">
        <is>
          <t>TC-SEC-API4-002</t>
        </is>
      </c>
      <c r="C75" s="10" t="inlineStr">
        <is>
          <t>Security</t>
        </is>
      </c>
      <c r="D75" s="10" t="inlineStr">
        <is>
          <t>Security — OWASP API Security Top 10</t>
        </is>
      </c>
      <c r="E75" s="10" t="inlineStr">
        <is>
          <t>Spam thao tác tốn tài nguyên</t>
        </is>
      </c>
      <c r="F75" s="10" t="inlineStr"/>
      <c r="G75" s="10" t="inlineStr">
        <is>
          <t>Gọi `check-now`, `test-connection`, `alert-channels/{id}/test` liên tục</t>
        </is>
      </c>
      <c r="H75" s="10" t="inlineStr"/>
      <c r="I75" s="10" t="inlineStr">
        <is>
          <t>429 theo policy `expensive`</t>
        </is>
      </c>
      <c r="J75" s="10" t="inlineStr"/>
      <c r="K75" s="10" t="inlineStr">
        <is>
          <t>P1 - Cao</t>
        </is>
      </c>
      <c r="L75" s="10" t="inlineStr">
        <is>
          <t>OWASP API6</t>
        </is>
      </c>
      <c r="M75" s="11" t="inlineStr">
        <is>
          <t>Chưa chạy</t>
        </is>
      </c>
      <c r="N75" s="11" t="inlineStr"/>
      <c r="O75" s="11" t="inlineStr"/>
      <c r="P75" s="11" t="inlineStr"/>
    </row>
    <row r="76">
      <c r="A76" s="10" t="n">
        <v>75</v>
      </c>
      <c r="B76" s="10" t="inlineStr">
        <is>
          <t>TC-SEC-API4-003</t>
        </is>
      </c>
      <c r="C76" s="10" t="inlineStr">
        <is>
          <t>Security</t>
        </is>
      </c>
      <c r="D76" s="10" t="inlineStr">
        <is>
          <t>Security — OWASP API Security Top 10</t>
        </is>
      </c>
      <c r="E76" s="10" t="inlineStr">
        <is>
          <t>Body lớn</t>
        </is>
      </c>
      <c r="F76" s="10" t="inlineStr"/>
      <c r="G76" s="10" t="inlineStr">
        <is>
          <t>POST 50 MB</t>
        </is>
      </c>
      <c r="H76" s="10" t="inlineStr"/>
      <c r="I76" s="10" t="inlineStr">
        <is>
          <t>413, kết nối không bị treo</t>
        </is>
      </c>
      <c r="J76" s="10" t="inlineStr"/>
      <c r="K76" s="10" t="inlineStr">
        <is>
          <t>P2 - Trung bình</t>
        </is>
      </c>
      <c r="L76" s="10" t="inlineStr">
        <is>
          <t>FR-GW-009</t>
        </is>
      </c>
      <c r="M76" s="11" t="inlineStr">
        <is>
          <t>Chưa chạy</t>
        </is>
      </c>
      <c r="N76" s="11" t="inlineStr"/>
      <c r="O76" s="11" t="inlineStr"/>
      <c r="P76" s="11" t="inlineStr"/>
    </row>
    <row r="77">
      <c r="A77" s="10" t="n">
        <v>76</v>
      </c>
      <c r="B77" s="10" t="inlineStr">
        <is>
          <t>TC-SEC-API5-001</t>
        </is>
      </c>
      <c r="C77" s="10" t="inlineStr">
        <is>
          <t>Security</t>
        </is>
      </c>
      <c r="D77" s="10" t="inlineStr">
        <is>
          <t>Security — OWASP API Security Top 10</t>
        </is>
      </c>
      <c r="E77" s="10" t="inlineStr">
        <is>
          <t>Phân quyền chức năng</t>
        </is>
      </c>
      <c r="F77" s="10" t="inlineStr"/>
      <c r="G77" s="10" t="inlineStr">
        <is>
          <t>Chạy ma trận vai trò × 40 endpoint</t>
        </is>
      </c>
      <c r="H77" s="10" t="inlineStr"/>
      <c r="I77" s="10" t="inlineStr">
        <is>
          <t>100% khớp bảng RBAC</t>
        </is>
      </c>
      <c r="J77" s="10" t="inlineStr"/>
      <c r="K77" s="10" t="inlineStr">
        <is>
          <t>P1 - Cao</t>
        </is>
      </c>
      <c r="L77" s="10" t="inlineStr">
        <is>
          <t>NFR-SEC-008</t>
        </is>
      </c>
      <c r="M77" s="11" t="inlineStr">
        <is>
          <t>Chưa chạy</t>
        </is>
      </c>
      <c r="N77" s="11" t="inlineStr"/>
      <c r="O77" s="11" t="inlineStr"/>
      <c r="P77" s="11" t="inlineStr"/>
    </row>
    <row r="78">
      <c r="A78" s="10" t="n">
        <v>77</v>
      </c>
      <c r="B78" s="10" t="inlineStr">
        <is>
          <t>TC-SEC-API5-002</t>
        </is>
      </c>
      <c r="C78" s="10" t="inlineStr">
        <is>
          <t>Security</t>
        </is>
      </c>
      <c r="D78" s="10" t="inlineStr">
        <is>
          <t>Security — OWASP API Security Top 10</t>
        </is>
      </c>
      <c r="E78" s="10" t="inlineStr">
        <is>
          <t>Đường vòng qua HTTP method</t>
        </is>
      </c>
      <c r="F78" s="10" t="inlineStr"/>
      <c r="G78" s="10" t="inlineStr">
        <is>
          <t>Dùng `X-HTTP-Method-Override: DELETE`</t>
        </is>
      </c>
      <c r="H78" s="10" t="inlineStr"/>
      <c r="I78" s="10" t="inlineStr">
        <is>
          <t>Không được chấp nhận</t>
        </is>
      </c>
      <c r="J78" s="10" t="inlineStr"/>
      <c r="K78" s="10" t="inlineStr">
        <is>
          <t>P2 - Trung bình</t>
        </is>
      </c>
      <c r="L78" s="10" t="inlineStr">
        <is>
          <t>OWASP API5</t>
        </is>
      </c>
      <c r="M78" s="11" t="inlineStr">
        <is>
          <t>Chưa chạy</t>
        </is>
      </c>
      <c r="N78" s="11" t="inlineStr"/>
      <c r="O78" s="11" t="inlineStr"/>
      <c r="P78" s="11" t="inlineStr"/>
    </row>
    <row r="79">
      <c r="A79" s="10" t="n">
        <v>78</v>
      </c>
      <c r="B79" s="10" t="inlineStr">
        <is>
          <t>TC-SEC-API7-001</t>
        </is>
      </c>
      <c r="C79" s="10" t="inlineStr">
        <is>
          <t>Security</t>
        </is>
      </c>
      <c r="D79" s="10" t="inlineStr">
        <is>
          <t>Security — OWASP API Security Top 10</t>
        </is>
      </c>
      <c r="E79" s="10" t="inlineStr">
        <is>
          <t>SSRF webhook</t>
        </is>
      </c>
      <c r="F79" s="10" t="inlineStr"/>
      <c r="G79" s="10" t="inlineStr">
        <is>
          <t>Tạo kênh với `https://127.0.0.1`, `https://10.0.0.1`, `https://169.254.169.254`, hostname phân giải về IP nội bộ</t>
        </is>
      </c>
      <c r="H79" s="10" t="inlineStr"/>
      <c r="I79" s="10" t="inlineStr">
        <is>
          <t>Tất cả bị chặn (422), không phát sinh kết nối ra ngoài</t>
        </is>
      </c>
      <c r="J79" s="10" t="inlineStr"/>
      <c r="K79" s="10" t="inlineStr">
        <is>
          <t>P1 - Cao</t>
        </is>
      </c>
      <c r="L79" s="10" t="inlineStr">
        <is>
          <t>BR-NTF-005</t>
        </is>
      </c>
      <c r="M79" s="11" t="inlineStr">
        <is>
          <t>Chưa chạy</t>
        </is>
      </c>
      <c r="N79" s="11" t="inlineStr"/>
      <c r="O79" s="11" t="inlineStr"/>
      <c r="P79" s="11" t="inlineStr"/>
    </row>
    <row r="80">
      <c r="A80" s="10" t="n">
        <v>79</v>
      </c>
      <c r="B80" s="10" t="inlineStr">
        <is>
          <t>TC-SEC-API7-002</t>
        </is>
      </c>
      <c r="C80" s="10" t="inlineStr">
        <is>
          <t>Security</t>
        </is>
      </c>
      <c r="D80" s="10" t="inlineStr">
        <is>
          <t>Security — OWASP API Security Top 10</t>
        </is>
      </c>
      <c r="E80" s="10" t="inlineStr">
        <is>
          <t>SSRF qua redirect</t>
        </is>
      </c>
      <c r="F80" s="10" t="inlineStr"/>
      <c r="G80" s="10" t="inlineStr">
        <is>
          <t>Endpoint hợp lệ trả 302 tới IP nội bộ</t>
        </is>
      </c>
      <c r="H80" s="10" t="inlineStr"/>
      <c r="I80" s="10" t="inlineStr">
        <is>
          <t>Không đi theo redirect</t>
        </is>
      </c>
      <c r="J80" s="10" t="inlineStr"/>
      <c r="K80" s="10" t="inlineStr">
        <is>
          <t>P1 - Cao</t>
        </is>
      </c>
      <c r="L80" s="10" t="inlineStr">
        <is>
          <t>TC-NTF-SEC-002</t>
        </is>
      </c>
      <c r="M80" s="11" t="inlineStr">
        <is>
          <t>Chưa chạy</t>
        </is>
      </c>
      <c r="N80" s="11" t="inlineStr"/>
      <c r="O80" s="11" t="inlineStr"/>
      <c r="P80" s="11" t="inlineStr"/>
    </row>
    <row r="81">
      <c r="A81" s="10" t="n">
        <v>80</v>
      </c>
      <c r="B81" s="10" t="inlineStr">
        <is>
          <t>TC-SEC-API8-001</t>
        </is>
      </c>
      <c r="C81" s="10" t="inlineStr">
        <is>
          <t>Security</t>
        </is>
      </c>
      <c r="D81" s="10" t="inlineStr">
        <is>
          <t>Security — OWASP API Security Top 10</t>
        </is>
      </c>
      <c r="E81" s="10" t="inlineStr">
        <is>
          <t>Cấu hình sai</t>
        </is>
      </c>
      <c r="F81" s="10" t="inlineStr"/>
      <c r="G81" s="10" t="inlineStr">
        <is>
          <t>Rà soát header, CORS, Swagger, thông báo lỗi ở môi trường production</t>
        </is>
      </c>
      <c r="H81" s="10" t="inlineStr"/>
      <c r="I81" s="10" t="inlineStr">
        <is>
          <t>Đạt toàn bộ checklist §6 gateway</t>
        </is>
      </c>
      <c r="J81" s="10" t="inlineStr"/>
      <c r="K81" s="10" t="inlineStr">
        <is>
          <t>P1 - Cao</t>
        </is>
      </c>
      <c r="L81" s="10" t="inlineStr">
        <is>
          <t>NFR-SEC-011</t>
        </is>
      </c>
      <c r="M81" s="11" t="inlineStr">
        <is>
          <t>Chưa chạy</t>
        </is>
      </c>
      <c r="N81" s="11" t="inlineStr"/>
      <c r="O81" s="11" t="inlineStr"/>
      <c r="P81" s="11" t="inlineStr"/>
    </row>
    <row r="82">
      <c r="A82" s="10" t="n">
        <v>81</v>
      </c>
      <c r="B82" s="10" t="inlineStr">
        <is>
          <t>TC-SEC-API8-002</t>
        </is>
      </c>
      <c r="C82" s="10" t="inlineStr">
        <is>
          <t>Security</t>
        </is>
      </c>
      <c r="D82" s="10" t="inlineStr">
        <is>
          <t>Security — OWASP API Security Top 10</t>
        </is>
      </c>
      <c r="E82" s="10" t="inlineStr">
        <is>
          <t>Container</t>
        </is>
      </c>
      <c r="F82" s="10" t="inlineStr"/>
      <c r="G82" s="10" t="inlineStr">
        <is>
          <t>Kiểm tra image chạy user non-root, rootfs chỉ đọc, drop capability</t>
        </is>
      </c>
      <c r="H82" s="10" t="inlineStr"/>
      <c r="I82" s="10" t="inlineStr">
        <is>
          <t>Đạt; Trivy không có lỗ hổng Critical</t>
        </is>
      </c>
      <c r="J82" s="10" t="inlineStr"/>
      <c r="K82" s="10" t="inlineStr">
        <is>
          <t>P2 - Trung bình</t>
        </is>
      </c>
      <c r="L82" s="10" t="inlineStr">
        <is>
          <t>NFR-SEC-015</t>
        </is>
      </c>
      <c r="M82" s="11" t="inlineStr">
        <is>
          <t>Chưa chạy</t>
        </is>
      </c>
      <c r="N82" s="11" t="inlineStr"/>
      <c r="O82" s="11" t="inlineStr"/>
      <c r="P82" s="11" t="inlineStr"/>
    </row>
    <row r="83">
      <c r="A83" s="10" t="n">
        <v>82</v>
      </c>
      <c r="B83" s="10" t="inlineStr">
        <is>
          <t>TC-SEC-API9-001</t>
        </is>
      </c>
      <c r="C83" s="10" t="inlineStr">
        <is>
          <t>Security</t>
        </is>
      </c>
      <c r="D83" s="10" t="inlineStr">
        <is>
          <t>Security — OWASP API Security Top 10</t>
        </is>
      </c>
      <c r="E83" s="10" t="inlineStr">
        <is>
          <t>Kiểm kê API</t>
        </is>
      </c>
      <c r="F83" s="10" t="inlineStr"/>
      <c r="G83" s="10" t="inlineStr">
        <is>
          <t>So sánh route thực tế với OpenAPI và bảng route gateway</t>
        </is>
      </c>
      <c r="H83" s="10" t="inlineStr"/>
      <c r="I83" s="10" t="inlineStr">
        <is>
          <t>Không có endpoint “mồ côi”, không có phiên bản cũ còn mở</t>
        </is>
      </c>
      <c r="J83" s="10" t="inlineStr"/>
      <c r="K83" s="10" t="inlineStr">
        <is>
          <t>P2 - Trung bình</t>
        </is>
      </c>
      <c r="L83" s="10" t="inlineStr">
        <is>
          <t>OWASP API9</t>
        </is>
      </c>
      <c r="M83" s="11" t="inlineStr">
        <is>
          <t>Chưa chạy</t>
        </is>
      </c>
      <c r="N83" s="11" t="inlineStr"/>
      <c r="O83" s="11" t="inlineStr"/>
      <c r="P83" s="11" t="inlineStr"/>
    </row>
    <row r="84">
      <c r="A84" s="10" t="n">
        <v>83</v>
      </c>
      <c r="B84" s="10" t="inlineStr">
        <is>
          <t>TC-SEC-API10-001</t>
        </is>
      </c>
      <c r="C84" s="10" t="inlineStr">
        <is>
          <t>Security</t>
        </is>
      </c>
      <c r="D84" s="10" t="inlineStr">
        <is>
          <t>Security — OWASP API Security Top 10</t>
        </is>
      </c>
      <c r="E84" s="10" t="inlineStr">
        <is>
          <t>Phản hồi bên ngoài độc hại</t>
        </is>
      </c>
      <c r="F84" s="10" t="inlineStr"/>
      <c r="G84" s="10" t="inlineStr">
        <is>
          <t>Webhook trả body 10 MB / JSON lồng sâu</t>
        </is>
      </c>
      <c r="H84" s="10" t="inlineStr"/>
      <c r="I84" s="10" t="inlineStr">
        <is>
          <t>Chỉ đọc 8 KB, không parse, không treo</t>
        </is>
      </c>
      <c r="J84" s="10" t="inlineStr"/>
      <c r="K84" s="10" t="inlineStr">
        <is>
          <t>P2 - Trung bình</t>
        </is>
      </c>
      <c r="L84" s="10" t="inlineStr">
        <is>
          <t>OWASP API10</t>
        </is>
      </c>
      <c r="M84" s="11" t="inlineStr">
        <is>
          <t>Chưa chạy</t>
        </is>
      </c>
      <c r="N84" s="11" t="inlineStr"/>
      <c r="O84" s="11" t="inlineStr"/>
      <c r="P84" s="11" t="inlineStr"/>
    </row>
    <row r="85">
      <c r="A85" s="10" t="n">
        <v>84</v>
      </c>
      <c r="B85" s="10" t="inlineStr">
        <is>
          <t>TC-SEC-INJ-001</t>
        </is>
      </c>
      <c r="C85" s="10" t="inlineStr">
        <is>
          <t>Security</t>
        </is>
      </c>
      <c r="D85" s="10" t="inlineStr">
        <is>
          <t>Security — Injection &amp; xử lý dữ liệu</t>
        </is>
      </c>
      <c r="E85" s="10" t="inlineStr">
        <is>
          <t>SQL injection ở mọi tham số lọc (`search='; DROP TABLE…`)</t>
        </is>
      </c>
      <c r="F85" s="10" t="inlineStr"/>
      <c r="G85" s="10" t="inlineStr"/>
      <c r="H85" s="10" t="inlineStr"/>
      <c r="I85" s="10" t="inlineStr">
        <is>
          <t>Không thực thi; EF Core tham số hóa; trả kết quả rỗng hoặc 400</t>
        </is>
      </c>
      <c r="J85" s="10" t="inlineStr"/>
      <c r="K85" s="10" t="inlineStr">
        <is>
          <t>P1 - Cao</t>
        </is>
      </c>
      <c r="L85" s="10" t="inlineStr">
        <is>
          <t>§7 gateway</t>
        </is>
      </c>
      <c r="M85" s="11" t="inlineStr">
        <is>
          <t>Chưa chạy</t>
        </is>
      </c>
      <c r="N85" s="11" t="inlineStr"/>
      <c r="O85" s="11" t="inlineStr"/>
      <c r="P85" s="11" t="inlineStr"/>
    </row>
    <row r="86">
      <c r="A86" s="10" t="n">
        <v>85</v>
      </c>
      <c r="B86" s="10" t="inlineStr">
        <is>
          <t>TC-SEC-INJ-002</t>
        </is>
      </c>
      <c r="C86" s="10" t="inlineStr">
        <is>
          <t>Security</t>
        </is>
      </c>
      <c r="D86" s="10" t="inlineStr">
        <is>
          <t>Security — Injection &amp; xử lý dữ liệu</t>
        </is>
      </c>
      <c r="E86" s="10" t="inlineStr">
        <is>
          <t>Command injection qua `host`, `username`, `diskMountPath` (`; rm -rf /`, `$(id)`, backtick)</t>
        </is>
      </c>
      <c r="F86" s="10" t="inlineStr"/>
      <c r="G86" s="10" t="inlineStr"/>
      <c r="H86" s="10" t="inlineStr"/>
      <c r="I86" s="10" t="inlineStr">
        <is>
          <t>Bị validate chặn; lệnh SSH không bị thay đổi</t>
        </is>
      </c>
      <c r="J86" s="10" t="inlineStr"/>
      <c r="K86" s="10" t="inlineStr">
        <is>
          <t>P1 - Cao</t>
        </is>
      </c>
      <c r="L86" s="10" t="inlineStr">
        <is>
          <t>BR-MON-001</t>
        </is>
      </c>
      <c r="M86" s="11" t="inlineStr">
        <is>
          <t>Chưa chạy</t>
        </is>
      </c>
      <c r="N86" s="11" t="inlineStr"/>
      <c r="O86" s="11" t="inlineStr"/>
      <c r="P86" s="11" t="inlineStr"/>
    </row>
    <row r="87">
      <c r="A87" s="10" t="n">
        <v>86</v>
      </c>
      <c r="B87" s="10" t="inlineStr">
        <is>
          <t>TC-SEC-INJ-003</t>
        </is>
      </c>
      <c r="C87" s="10" t="inlineStr">
        <is>
          <t>Security</t>
        </is>
      </c>
      <c r="D87" s="10" t="inlineStr">
        <is>
          <t>Security — Injection &amp; xử lý dữ liệu</t>
        </is>
      </c>
      <c r="E87" s="10" t="inlineStr">
        <is>
          <t>Header injection qua giá trị người dùng (CRLF)</t>
        </is>
      </c>
      <c r="F87" s="10" t="inlineStr"/>
      <c r="G87" s="10" t="inlineStr"/>
      <c r="H87" s="10" t="inlineStr"/>
      <c r="I87" s="10" t="inlineStr">
        <is>
          <t>Bị loại bỏ, không tách được header</t>
        </is>
      </c>
      <c r="J87" s="10" t="inlineStr"/>
      <c r="K87" s="10" t="inlineStr">
        <is>
          <t>P2 - Trung bình</t>
        </is>
      </c>
      <c r="L87" s="10" t="inlineStr">
        <is>
          <t>—</t>
        </is>
      </c>
      <c r="M87" s="11" t="inlineStr">
        <is>
          <t>Chưa chạy</t>
        </is>
      </c>
      <c r="N87" s="11" t="inlineStr"/>
      <c r="O87" s="11" t="inlineStr"/>
      <c r="P87" s="11" t="inlineStr"/>
    </row>
    <row r="88">
      <c r="A88" s="10" t="n">
        <v>87</v>
      </c>
      <c r="B88" s="10" t="inlineStr">
        <is>
          <t>TC-SEC-INJ-004</t>
        </is>
      </c>
      <c r="C88" s="10" t="inlineStr">
        <is>
          <t>Security</t>
        </is>
      </c>
      <c r="D88" s="10" t="inlineStr">
        <is>
          <t>Security — Injection &amp; xử lý dữ liệu</t>
        </is>
      </c>
      <c r="E88" s="10" t="inlineStr">
        <is>
          <t>XSS lưu trữ: tạo node tên `&lt;img src=x onerror=alert(1)&gt;`</t>
        </is>
      </c>
      <c r="F88" s="10" t="inlineStr"/>
      <c r="G88" s="10" t="inlineStr"/>
      <c r="H88" s="10" t="inlineStr"/>
      <c r="I88" s="10" t="inlineStr">
        <is>
          <t>Hiển thị dưới dạng văn bản trên mọi màn hình và trong email cảnh báo</t>
        </is>
      </c>
      <c r="J88" s="10" t="inlineStr"/>
      <c r="K88" s="10" t="inlineStr">
        <is>
          <t>P1 - Cao</t>
        </is>
      </c>
      <c r="L88" s="10" t="inlineStr">
        <is>
          <t>FE §5 S1</t>
        </is>
      </c>
      <c r="M88" s="11" t="inlineStr">
        <is>
          <t>Chưa chạy</t>
        </is>
      </c>
      <c r="N88" s="11" t="inlineStr"/>
      <c r="O88" s="11" t="inlineStr"/>
      <c r="P88" s="11" t="inlineStr"/>
    </row>
    <row r="89">
      <c r="A89" s="10" t="n">
        <v>88</v>
      </c>
      <c r="B89" s="10" t="inlineStr">
        <is>
          <t>TC-SEC-INJ-005</t>
        </is>
      </c>
      <c r="C89" s="10" t="inlineStr">
        <is>
          <t>Security</t>
        </is>
      </c>
      <c r="D89" s="10" t="inlineStr">
        <is>
          <t>Security — Injection &amp; xử lý dữ liệu</t>
        </is>
      </c>
      <c r="E89" s="10" t="inlineStr">
        <is>
          <t>CSV injection: mô tả bắt đầu bằng `=cmd|`</t>
        </is>
      </c>
      <c r="F89" s="10" t="inlineStr"/>
      <c r="G89" s="10" t="inlineStr"/>
      <c r="H89" s="10" t="inlineStr"/>
      <c r="I89" s="10" t="inlineStr">
        <is>
          <t>Khi xuất CSV, giá trị được thoát (prefix `'`)</t>
        </is>
      </c>
      <c r="J89" s="10" t="inlineStr"/>
      <c r="K89" s="10" t="inlineStr">
        <is>
          <t>P3 - Thấp</t>
        </is>
      </c>
      <c r="L89" s="10" t="inlineStr">
        <is>
          <t>FR-MET-011</t>
        </is>
      </c>
      <c r="M89" s="11" t="inlineStr">
        <is>
          <t>Chưa chạy</t>
        </is>
      </c>
      <c r="N89" s="11" t="inlineStr"/>
      <c r="O89" s="11" t="inlineStr"/>
      <c r="P89" s="11" t="inlineStr"/>
    </row>
    <row r="90">
      <c r="A90" s="10" t="n">
        <v>89</v>
      </c>
      <c r="B90" s="10" t="inlineStr">
        <is>
          <t>TC-SEC-INJ-006</t>
        </is>
      </c>
      <c r="C90" s="10" t="inlineStr">
        <is>
          <t>Security</t>
        </is>
      </c>
      <c r="D90" s="10" t="inlineStr">
        <is>
          <t>Security — Injection &amp; xử lý dữ liệu</t>
        </is>
      </c>
      <c r="E90" s="10" t="inlineStr">
        <is>
          <t>Path traversal trong tham số tệp/xuất</t>
        </is>
      </c>
      <c r="F90" s="10" t="inlineStr"/>
      <c r="G90" s="10" t="inlineStr"/>
      <c r="H90" s="10" t="inlineStr"/>
      <c r="I90" s="10" t="inlineStr">
        <is>
          <t>Không truy cập được tệp ngoài phạm vi</t>
        </is>
      </c>
      <c r="J90" s="10" t="inlineStr"/>
      <c r="K90" s="10" t="inlineStr">
        <is>
          <t>P2 - Trung bình</t>
        </is>
      </c>
      <c r="L90" s="10" t="inlineStr">
        <is>
          <t>—</t>
        </is>
      </c>
      <c r="M90" s="11" t="inlineStr">
        <is>
          <t>Chưa chạy</t>
        </is>
      </c>
      <c r="N90" s="11" t="inlineStr"/>
      <c r="O90" s="11" t="inlineStr"/>
      <c r="P90" s="11" t="inlineStr"/>
    </row>
    <row r="91">
      <c r="A91" s="10" t="n">
        <v>90</v>
      </c>
      <c r="B91" s="10" t="inlineStr">
        <is>
          <t>TC-SEC-FE-001</t>
        </is>
      </c>
      <c r="C91" s="10" t="inlineStr">
        <is>
          <t>Security</t>
        </is>
      </c>
      <c r="D91" s="10" t="inlineStr">
        <is>
          <t>Security — Bảo mật Frontend</t>
        </is>
      </c>
      <c r="E91" s="10" t="inlineStr">
        <is>
          <t>Kiểm tra lưu trữ token</t>
        </is>
      </c>
      <c r="F91" s="10" t="inlineStr"/>
      <c r="G91" s="10" t="inlineStr"/>
      <c r="H91" s="10" t="inlineStr"/>
      <c r="I91" s="10" t="inlineStr">
        <is>
          <t>Access token không có trong `localStorage`/`sessionStorage`/IndexedDB; refresh token là cookie `HttpOnly` không đọc được bằng JS</t>
        </is>
      </c>
      <c r="J91" s="10" t="inlineStr"/>
      <c r="K91" s="10" t="inlineStr">
        <is>
          <t>P1 - Cao</t>
        </is>
      </c>
      <c r="L91" s="10" t="inlineStr">
        <is>
          <t>FE §5 S2</t>
        </is>
      </c>
      <c r="M91" s="11" t="inlineStr">
        <is>
          <t>Chưa chạy</t>
        </is>
      </c>
      <c r="N91" s="11" t="inlineStr"/>
      <c r="O91" s="11" t="inlineStr"/>
      <c r="P91" s="11" t="inlineStr"/>
    </row>
    <row r="92">
      <c r="A92" s="10" t="n">
        <v>91</v>
      </c>
      <c r="B92" s="10" t="inlineStr">
        <is>
          <t>TC-SEC-FE-002</t>
        </is>
      </c>
      <c r="C92" s="10" t="inlineStr">
        <is>
          <t>Security</t>
        </is>
      </c>
      <c r="D92" s="10" t="inlineStr">
        <is>
          <t>Security — Bảo mật Frontend</t>
        </is>
      </c>
      <c r="E92" s="10" t="inlineStr">
        <is>
          <t>CSP hiệu lực</t>
        </is>
      </c>
      <c r="F92" s="10" t="inlineStr"/>
      <c r="G92" s="10" t="inlineStr"/>
      <c r="H92" s="10" t="inlineStr"/>
      <c r="I92" s="10" t="inlineStr">
        <is>
          <t>Header CSP có mặt; chèn inline script bị chặn; không dùng `unsafe-inline` cho `script-src`</t>
        </is>
      </c>
      <c r="J92" s="10" t="inlineStr"/>
      <c r="K92" s="10" t="inlineStr">
        <is>
          <t>P1 - Cao</t>
        </is>
      </c>
      <c r="L92" s="10" t="inlineStr">
        <is>
          <t>FE §5</t>
        </is>
      </c>
      <c r="M92" s="11" t="inlineStr">
        <is>
          <t>Chưa chạy</t>
        </is>
      </c>
      <c r="N92" s="11" t="inlineStr"/>
      <c r="O92" s="11" t="inlineStr"/>
      <c r="P92" s="11" t="inlineStr"/>
    </row>
    <row r="93">
      <c r="A93" s="10" t="n">
        <v>92</v>
      </c>
      <c r="B93" s="10" t="inlineStr">
        <is>
          <t>TC-SEC-FE-003</t>
        </is>
      </c>
      <c r="C93" s="10" t="inlineStr">
        <is>
          <t>Security</t>
        </is>
      </c>
      <c r="D93" s="10" t="inlineStr">
        <is>
          <t>Security — Bảo mật Frontend</t>
        </is>
      </c>
      <c r="E93" s="10" t="inlineStr">
        <is>
          <t>Không dùng `dangerouslySetInnerHTML`</t>
        </is>
      </c>
      <c r="F93" s="10" t="inlineStr"/>
      <c r="G93" s="10" t="inlineStr"/>
      <c r="H93" s="10" t="inlineStr"/>
      <c r="I93" s="10" t="inlineStr">
        <is>
          <t>Quét mã nguồn: 0 kết quả (hoặc có kèm DOMPurify và ghi chú duyệt)</t>
        </is>
      </c>
      <c r="J93" s="10" t="inlineStr"/>
      <c r="K93" s="10" t="inlineStr">
        <is>
          <t>P1 - Cao</t>
        </is>
      </c>
      <c r="L93" s="10" t="inlineStr">
        <is>
          <t>FE §5 S1</t>
        </is>
      </c>
      <c r="M93" s="11" t="inlineStr">
        <is>
          <t>Chưa chạy</t>
        </is>
      </c>
      <c r="N93" s="11" t="inlineStr"/>
      <c r="O93" s="11" t="inlineStr"/>
      <c r="P93" s="11" t="inlineStr"/>
    </row>
    <row r="94">
      <c r="A94" s="10" t="n">
        <v>93</v>
      </c>
      <c r="B94" s="10" t="inlineStr">
        <is>
          <t>TC-SEC-FE-004</t>
        </is>
      </c>
      <c r="C94" s="10" t="inlineStr">
        <is>
          <t>Security</t>
        </is>
      </c>
      <c r="D94" s="10" t="inlineStr">
        <is>
          <t>Security — Bảo mật Frontend</t>
        </is>
      </c>
      <c r="E94" s="10" t="inlineStr">
        <is>
          <t>Clickjacking</t>
        </is>
      </c>
      <c r="F94" s="10" t="inlineStr"/>
      <c r="G94" s="10" t="inlineStr"/>
      <c r="H94" s="10" t="inlineStr"/>
      <c r="I94" s="10" t="inlineStr">
        <is>
          <t>Nhúng ứng dụng trong iframe → bị chặn bởi `frame-ancestors 'none'`</t>
        </is>
      </c>
      <c r="J94" s="10" t="inlineStr"/>
      <c r="K94" s="10" t="inlineStr">
        <is>
          <t>P2 - Trung bình</t>
        </is>
      </c>
      <c r="L94" s="10" t="inlineStr">
        <is>
          <t>FE §5 S4</t>
        </is>
      </c>
      <c r="M94" s="11" t="inlineStr">
        <is>
          <t>Chưa chạy</t>
        </is>
      </c>
      <c r="N94" s="11" t="inlineStr"/>
      <c r="O94" s="11" t="inlineStr"/>
      <c r="P94" s="11" t="inlineStr"/>
    </row>
    <row r="95">
      <c r="A95" s="10" t="n">
        <v>94</v>
      </c>
      <c r="B95" s="10" t="inlineStr">
        <is>
          <t>TC-SEC-FE-005</t>
        </is>
      </c>
      <c r="C95" s="10" t="inlineStr">
        <is>
          <t>Security</t>
        </is>
      </c>
      <c r="D95" s="10" t="inlineStr">
        <is>
          <t>Security — Bảo mật Frontend</t>
        </is>
      </c>
      <c r="E95" s="10" t="inlineStr">
        <is>
          <t>Open redirect</t>
        </is>
      </c>
      <c r="F95" s="10" t="inlineStr"/>
      <c r="G95" s="10" t="inlineStr"/>
      <c r="H95" s="10" t="inlineStr"/>
      <c r="I95" s="10" t="inlineStr">
        <is>
          <t>Đăng nhập với `?returnUrl=https://evil.com` → bỏ qua, chuyển về Dashboard</t>
        </is>
      </c>
      <c r="J95" s="10" t="inlineStr"/>
      <c r="K95" s="10" t="inlineStr">
        <is>
          <t>P1 - Cao</t>
        </is>
      </c>
      <c r="L95" s="10" t="inlineStr">
        <is>
          <t>FE §5 S9</t>
        </is>
      </c>
      <c r="M95" s="11" t="inlineStr">
        <is>
          <t>Chưa chạy</t>
        </is>
      </c>
      <c r="N95" s="11" t="inlineStr"/>
      <c r="O95" s="11" t="inlineStr"/>
      <c r="P95" s="11" t="inlineStr"/>
    </row>
    <row r="96">
      <c r="A96" s="10" t="n">
        <v>95</v>
      </c>
      <c r="B96" s="10" t="inlineStr">
        <is>
          <t>TC-SEC-FE-006</t>
        </is>
      </c>
      <c r="C96" s="10" t="inlineStr">
        <is>
          <t>Security</t>
        </is>
      </c>
      <c r="D96" s="10" t="inlineStr">
        <is>
          <t>Security — Bảo mật Frontend</t>
        </is>
      </c>
      <c r="E96" s="10" t="inlineStr">
        <is>
          <t>CSRF</t>
        </is>
      </c>
      <c r="F96" s="10" t="inlineStr"/>
      <c r="G96" s="10" t="inlineStr"/>
      <c r="H96" s="10" t="inlineStr"/>
      <c r="I96" s="10" t="inlineStr">
        <is>
          <t>Gửi form từ site khác tới `/api/v1/nodes` với cookie sẵn có → thất bại (thiếu Bearer token, `SameSite=Strict`)</t>
        </is>
      </c>
      <c r="J96" s="10" t="inlineStr"/>
      <c r="K96" s="10" t="inlineStr">
        <is>
          <t>P1 - Cao</t>
        </is>
      </c>
      <c r="L96" s="10" t="inlineStr">
        <is>
          <t>FE §5 S3</t>
        </is>
      </c>
      <c r="M96" s="11" t="inlineStr">
        <is>
          <t>Chưa chạy</t>
        </is>
      </c>
      <c r="N96" s="11" t="inlineStr"/>
      <c r="O96" s="11" t="inlineStr"/>
      <c r="P96" s="11" t="inlineStr"/>
    </row>
    <row r="97">
      <c r="A97" s="10" t="n">
        <v>96</v>
      </c>
      <c r="B97" s="10" t="inlineStr">
        <is>
          <t>TC-SEC-FE-007</t>
        </is>
      </c>
      <c r="C97" s="10" t="inlineStr">
        <is>
          <t>Security</t>
        </is>
      </c>
      <c r="D97" s="10" t="inlineStr">
        <is>
          <t>Security — Bảo mật Frontend</t>
        </is>
      </c>
      <c r="E97" s="10" t="inlineStr">
        <is>
          <t>Console/sourcemap ở production</t>
        </is>
      </c>
      <c r="F97" s="10" t="inlineStr"/>
      <c r="G97" s="10" t="inlineStr"/>
      <c r="H97" s="10" t="inlineStr"/>
      <c r="I97" s="10" t="inlineStr">
        <is>
          <t>Không log payload nhạy cảm; không publish sourcemap</t>
        </is>
      </c>
      <c r="J97" s="10" t="inlineStr"/>
      <c r="K97" s="10" t="inlineStr">
        <is>
          <t>P2 - Trung bình</t>
        </is>
      </c>
      <c r="L97" s="10" t="inlineStr">
        <is>
          <t>FE §5 S6, S10</t>
        </is>
      </c>
      <c r="M97" s="11" t="inlineStr">
        <is>
          <t>Chưa chạy</t>
        </is>
      </c>
      <c r="N97" s="11" t="inlineStr"/>
      <c r="O97" s="11" t="inlineStr"/>
      <c r="P97" s="11" t="inlineStr"/>
    </row>
    <row r="98">
      <c r="A98" s="10" t="n">
        <v>97</v>
      </c>
      <c r="B98" s="10" t="inlineStr">
        <is>
          <t>TC-SEC-FE-008</t>
        </is>
      </c>
      <c r="C98" s="10" t="inlineStr">
        <is>
          <t>Security</t>
        </is>
      </c>
      <c r="D98" s="10" t="inlineStr">
        <is>
          <t>Security — Bảo mật Frontend</t>
        </is>
      </c>
      <c r="E98" s="10" t="inlineStr">
        <is>
          <t>Phân quyền chỉ là giao diện</t>
        </is>
      </c>
      <c r="F98" s="10" t="inlineStr"/>
      <c r="G98" s="10" t="inlineStr"/>
      <c r="H98" s="10" t="inlineStr"/>
      <c r="I98" s="10" t="inlineStr">
        <is>
          <t>Dùng devtools bật nút ẩn của VIEWER rồi bấm → API trả 403; dữ liệu không đổi</t>
        </is>
      </c>
      <c r="J98" s="10" t="inlineStr"/>
      <c r="K98" s="10" t="inlineStr">
        <is>
          <t>P1 - Cao</t>
        </is>
      </c>
      <c r="L98" s="10" t="inlineStr">
        <is>
          <t>FE §5 S7</t>
        </is>
      </c>
      <c r="M98" s="11" t="inlineStr">
        <is>
          <t>Chưa chạy</t>
        </is>
      </c>
      <c r="N98" s="11" t="inlineStr"/>
      <c r="O98" s="11" t="inlineStr"/>
      <c r="P98" s="11" t="inlineStr"/>
    </row>
    <row r="99">
      <c r="A99" s="10" t="n">
        <v>98</v>
      </c>
      <c r="B99" s="10" t="inlineStr">
        <is>
          <t>TC-SEC-FE-009</t>
        </is>
      </c>
      <c r="C99" s="10" t="inlineStr">
        <is>
          <t>Security</t>
        </is>
      </c>
      <c r="D99" s="10" t="inlineStr">
        <is>
          <t>Security — Bảo mật Frontend</t>
        </is>
      </c>
      <c r="E99" s="10" t="inlineStr">
        <is>
          <t>Tự đăng xuất &amp; xóa cache</t>
        </is>
      </c>
      <c r="F99" s="10" t="inlineStr"/>
      <c r="G99" s="10" t="inlineStr"/>
      <c r="H99" s="10" t="inlineStr"/>
      <c r="I99" s="10" t="inlineStr">
        <is>
          <t>Sau khi đăng xuất, kiểm tra bộ nhớ ứng dụng → không còn dữ liệu người dùng trong cache</t>
        </is>
      </c>
      <c r="J99" s="10" t="inlineStr"/>
      <c r="K99" s="10" t="inlineStr">
        <is>
          <t>P2 - Trung bình</t>
        </is>
      </c>
      <c r="L99" s="10" t="inlineStr">
        <is>
          <t>FE §5 S11</t>
        </is>
      </c>
      <c r="M99" s="11" t="inlineStr">
        <is>
          <t>Chưa chạy</t>
        </is>
      </c>
      <c r="N99" s="11" t="inlineStr"/>
      <c r="O99" s="11" t="inlineStr"/>
      <c r="P99" s="11" t="inlineStr"/>
    </row>
    <row r="100">
      <c r="A100" s="10" t="n">
        <v>99</v>
      </c>
      <c r="B100" s="10" t="inlineStr">
        <is>
          <t>TC-SEC-DATA-001</t>
        </is>
      </c>
      <c r="C100" s="10" t="inlineStr">
        <is>
          <t>Security</t>
        </is>
      </c>
      <c r="D100" s="10" t="inlineStr">
        <is>
          <t>Security — Bảo mật dữ liệu &amp; bí mật</t>
        </is>
      </c>
      <c r="E100" s="10" t="inlineStr">
        <is>
          <t>Rà soát repo bằng gitleaks</t>
        </is>
      </c>
      <c r="F100" s="10" t="inlineStr"/>
      <c r="G100" s="10" t="inlineStr"/>
      <c r="H100" s="10" t="inlineStr"/>
      <c r="I100" s="10" t="inlineStr">
        <is>
          <t>0 secret trong mã nguồn và lịch sử commit</t>
        </is>
      </c>
      <c r="J100" s="10" t="inlineStr"/>
      <c r="K100" s="10" t="inlineStr">
        <is>
          <t>P1 - Cao</t>
        </is>
      </c>
      <c r="L100" s="10" t="inlineStr">
        <is>
          <t>NFR-SEC-007</t>
        </is>
      </c>
      <c r="M100" s="11" t="inlineStr">
        <is>
          <t>Chưa chạy</t>
        </is>
      </c>
      <c r="N100" s="11" t="inlineStr"/>
      <c r="O100" s="11" t="inlineStr"/>
      <c r="P100" s="11" t="inlineStr"/>
    </row>
    <row r="101">
      <c r="A101" s="10" t="n">
        <v>100</v>
      </c>
      <c r="B101" s="10" t="inlineStr">
        <is>
          <t>TC-SEC-DATA-002</t>
        </is>
      </c>
      <c r="C101" s="10" t="inlineStr">
        <is>
          <t>Security</t>
        </is>
      </c>
      <c r="D101" s="10" t="inlineStr">
        <is>
          <t>Security — Bảo mật dữ liệu &amp; bí mật</t>
        </is>
      </c>
      <c r="E101" s="10" t="inlineStr">
        <is>
          <t>Rà soát log toàn hệ thống sau một chu kỳ quét đầy đủ</t>
        </is>
      </c>
      <c r="F101" s="10" t="inlineStr"/>
      <c r="G101" s="10" t="inlineStr"/>
      <c r="H101" s="10" t="inlineStr"/>
      <c r="I101" s="10" t="inlineStr">
        <is>
          <t>Không có mật khẩu, private key, token, cookie</t>
        </is>
      </c>
      <c r="J101" s="10" t="inlineStr"/>
      <c r="K101" s="10" t="inlineStr">
        <is>
          <t>P1 - Cao</t>
        </is>
      </c>
      <c r="L101" s="10" t="inlineStr">
        <is>
          <t>NFR-SEC-007</t>
        </is>
      </c>
      <c r="M101" s="11" t="inlineStr">
        <is>
          <t>Chưa chạy</t>
        </is>
      </c>
      <c r="N101" s="11" t="inlineStr"/>
      <c r="O101" s="11" t="inlineStr"/>
      <c r="P101" s="11" t="inlineStr"/>
    </row>
    <row r="102">
      <c r="A102" s="10" t="n">
        <v>101</v>
      </c>
      <c r="B102" s="10" t="inlineStr">
        <is>
          <t>TC-SEC-DATA-003</t>
        </is>
      </c>
      <c r="C102" s="10" t="inlineStr">
        <is>
          <t>Security</t>
        </is>
      </c>
      <c r="D102" s="10" t="inlineStr">
        <is>
          <t>Security — Bảo mật dữ liệu &amp; bí mật</t>
        </is>
      </c>
      <c r="E102" s="10" t="inlineStr">
        <is>
          <t>Kiểm tra CSDL</t>
        </is>
      </c>
      <c r="F102" s="10" t="inlineStr"/>
      <c r="G102" s="10" t="inlineStr"/>
      <c r="H102" s="10" t="inlineStr"/>
      <c r="I102" s="10" t="inlineStr">
        <is>
          <t>Không cột nào lưu credential dạng plaintext; `PasswordHash` là Argon2id</t>
        </is>
      </c>
      <c r="J102" s="10" t="inlineStr"/>
      <c r="K102" s="10" t="inlineStr">
        <is>
          <t>P1 - Cao</t>
        </is>
      </c>
      <c r="L102" s="10" t="inlineStr">
        <is>
          <t>NFR-SEC-003, 004</t>
        </is>
      </c>
      <c r="M102" s="11" t="inlineStr">
        <is>
          <t>Chưa chạy</t>
        </is>
      </c>
      <c r="N102" s="11" t="inlineStr"/>
      <c r="O102" s="11" t="inlineStr"/>
      <c r="P102" s="11" t="inlineStr"/>
    </row>
    <row r="103">
      <c r="A103" s="10" t="n">
        <v>102</v>
      </c>
      <c r="B103" s="10" t="inlineStr">
        <is>
          <t>TC-SEC-DATA-004</t>
        </is>
      </c>
      <c r="C103" s="10" t="inlineStr">
        <is>
          <t>Security</t>
        </is>
      </c>
      <c r="D103" s="10" t="inlineStr">
        <is>
          <t>Security — Bảo mật dữ liệu &amp; bí mật</t>
        </is>
      </c>
      <c r="E103" s="10" t="inlineStr">
        <is>
          <t>Bắt gói tin nội bộ</t>
        </is>
      </c>
      <c r="F103" s="10" t="inlineStr"/>
      <c r="G103" s="10" t="inlineStr"/>
      <c r="H103" s="10" t="inlineStr"/>
      <c r="I103" s="10" t="inlineStr">
        <is>
          <t>Kết nối tới SQL Server/RabbitMQ/Redis đều mã hóa; `/internal/` dùng mTLS</t>
        </is>
      </c>
      <c r="J103" s="10" t="inlineStr"/>
      <c r="K103" s="10" t="inlineStr">
        <is>
          <t>P2 - Trung bình</t>
        </is>
      </c>
      <c r="L103" s="10" t="inlineStr">
        <is>
          <t>NFR-SEC-002</t>
        </is>
      </c>
      <c r="M103" s="11" t="inlineStr">
        <is>
          <t>Chưa chạy</t>
        </is>
      </c>
      <c r="N103" s="11" t="inlineStr"/>
      <c r="O103" s="11" t="inlineStr"/>
      <c r="P103" s="11" t="inlineStr"/>
    </row>
    <row r="104">
      <c r="A104" s="10" t="n">
        <v>103</v>
      </c>
      <c r="B104" s="10" t="inlineStr">
        <is>
          <t>TC-SEC-DATA-005</t>
        </is>
      </c>
      <c r="C104" s="10" t="inlineStr">
        <is>
          <t>Security</t>
        </is>
      </c>
      <c r="D104" s="10" t="inlineStr">
        <is>
          <t>Security — Bảo mật dữ liệu &amp; bí mật</t>
        </is>
      </c>
      <c r="E104" s="10" t="inlineStr">
        <is>
          <t>Xoay khóa AES</t>
        </is>
      </c>
      <c r="F104" s="10" t="inlineStr"/>
      <c r="G104" s="10" t="inlineStr"/>
      <c r="H104" s="10" t="inlineStr"/>
      <c r="I104" s="10" t="inlineStr">
        <is>
          <t>Sau khi thêm khóa mới, dữ liệu cũ vẫn giải mã; dữ liệu mới dùng khóa mới</t>
        </is>
      </c>
      <c r="J104" s="10" t="inlineStr"/>
      <c r="K104" s="10" t="inlineStr">
        <is>
          <t>P2 - Trung bình</t>
        </is>
      </c>
      <c r="L104" s="10" t="inlineStr">
        <is>
          <t>FR-INV-016</t>
        </is>
      </c>
      <c r="M104" s="11" t="inlineStr">
        <is>
          <t>Chưa chạy</t>
        </is>
      </c>
      <c r="N104" s="11" t="inlineStr"/>
      <c r="O104" s="11" t="inlineStr"/>
      <c r="P104" s="11" t="inlineStr"/>
    </row>
    <row r="105">
      <c r="A105" s="10" t="n">
        <v>104</v>
      </c>
      <c r="B105" s="10" t="inlineStr">
        <is>
          <t>TC-SEC-DATA-006</t>
        </is>
      </c>
      <c r="C105" s="10" t="inlineStr">
        <is>
          <t>Security</t>
        </is>
      </c>
      <c r="D105" s="10" t="inlineStr">
        <is>
          <t>Security — Bảo mật dữ liệu &amp; bí mật</t>
        </is>
      </c>
      <c r="E105" s="10" t="inlineStr">
        <is>
          <t>Xóa node</t>
        </is>
      </c>
      <c r="F105" s="10" t="inlineStr"/>
      <c r="G105" s="10" t="inlineStr"/>
      <c r="H105" s="10" t="inlineStr"/>
      <c r="I105" s="10" t="inlineStr">
        <is>
          <t>Bản ghi credential bị xóa cứng khỏi CSDL</t>
        </is>
      </c>
      <c r="J105" s="10" t="inlineStr"/>
      <c r="K105" s="10" t="inlineStr">
        <is>
          <t>P1 - Cao</t>
        </is>
      </c>
      <c r="L105" s="10" t="inlineStr">
        <is>
          <t>UC-INV-04</t>
        </is>
      </c>
      <c r="M105" s="11" t="inlineStr">
        <is>
          <t>Chưa chạy</t>
        </is>
      </c>
      <c r="N105" s="11" t="inlineStr"/>
      <c r="O105" s="11" t="inlineStr"/>
      <c r="P105" s="11" t="inlineStr"/>
    </row>
    <row r="106">
      <c r="A106" s="10" t="n">
        <v>105</v>
      </c>
      <c r="B106" s="10" t="inlineStr">
        <is>
          <t>TC-SEC-SCAN-001</t>
        </is>
      </c>
      <c r="C106" s="10" t="inlineStr">
        <is>
          <t>Security</t>
        </is>
      </c>
      <c r="D106" s="10" t="inlineStr">
        <is>
          <t>Security — Quét tự động &amp; quy trình</t>
        </is>
      </c>
      <c r="E106" s="10" t="inlineStr">
        <is>
          <t>Phụ thuộc .NET</t>
        </is>
      </c>
      <c r="F106" s="10" t="inlineStr"/>
      <c r="G106" s="10" t="inlineStr">
        <is>
          <t>`dotnet list package --vulnerable`</t>
        </is>
      </c>
      <c r="H106" s="10" t="inlineStr"/>
      <c r="I106" s="10" t="inlineStr">
        <is>
          <t>0 lỗ hổng High/Critical</t>
        </is>
      </c>
      <c r="J106" s="10" t="inlineStr"/>
      <c r="K106" s="10" t="inlineStr"/>
      <c r="L106" s="10" t="inlineStr">
        <is>
          <t>NFR-SEC-014</t>
        </is>
      </c>
      <c r="M106" s="11" t="inlineStr">
        <is>
          <t>Chưa chạy</t>
        </is>
      </c>
      <c r="N106" s="11" t="inlineStr"/>
      <c r="O106" s="11" t="inlineStr"/>
      <c r="P106" s="11" t="inlineStr"/>
    </row>
    <row r="107">
      <c r="A107" s="10" t="n">
        <v>106</v>
      </c>
      <c r="B107" s="10" t="inlineStr">
        <is>
          <t>TC-SEC-SCAN-002</t>
        </is>
      </c>
      <c r="C107" s="10" t="inlineStr">
        <is>
          <t>Security</t>
        </is>
      </c>
      <c r="D107" s="10" t="inlineStr">
        <is>
          <t>Security — Quét tự động &amp; quy trình</t>
        </is>
      </c>
      <c r="E107" s="10" t="inlineStr">
        <is>
          <t>Phụ thuộc npm</t>
        </is>
      </c>
      <c r="F107" s="10" t="inlineStr"/>
      <c r="G107" s="10" t="inlineStr">
        <is>
          <t>`npm audit --audit-level=high`</t>
        </is>
      </c>
      <c r="H107" s="10" t="inlineStr"/>
      <c r="I107" s="10" t="inlineStr">
        <is>
          <t>0 lỗ hổng High/Critical</t>
        </is>
      </c>
      <c r="J107" s="10" t="inlineStr"/>
      <c r="K107" s="10" t="inlineStr"/>
      <c r="L107" s="10" t="inlineStr">
        <is>
          <t>NFR-SEC-014</t>
        </is>
      </c>
      <c r="M107" s="11" t="inlineStr">
        <is>
          <t>Chưa chạy</t>
        </is>
      </c>
      <c r="N107" s="11" t="inlineStr"/>
      <c r="O107" s="11" t="inlineStr"/>
      <c r="P107" s="11" t="inlineStr"/>
    </row>
    <row r="108">
      <c r="A108" s="10" t="n">
        <v>107</v>
      </c>
      <c r="B108" s="10" t="inlineStr">
        <is>
          <t>TC-SEC-SCAN-003</t>
        </is>
      </c>
      <c r="C108" s="10" t="inlineStr">
        <is>
          <t>Security</t>
        </is>
      </c>
      <c r="D108" s="10" t="inlineStr">
        <is>
          <t>Security — Quét tự động &amp; quy trình</t>
        </is>
      </c>
      <c r="E108" s="10" t="inlineStr">
        <is>
          <t>SAST</t>
        </is>
      </c>
      <c r="F108" s="10" t="inlineStr"/>
      <c r="G108" s="10" t="inlineStr">
        <is>
          <t>CodeQL</t>
        </is>
      </c>
      <c r="H108" s="10" t="inlineStr"/>
      <c r="I108" s="10" t="inlineStr">
        <is>
          <t>0 cảnh báo mức High</t>
        </is>
      </c>
      <c r="J108" s="10" t="inlineStr"/>
      <c r="K108" s="10" t="inlineStr"/>
      <c r="L108" s="10" t="inlineStr">
        <is>
          <t>NFR-SEC-010</t>
        </is>
      </c>
      <c r="M108" s="11" t="inlineStr">
        <is>
          <t>Chưa chạy</t>
        </is>
      </c>
      <c r="N108" s="11" t="inlineStr"/>
      <c r="O108" s="11" t="inlineStr"/>
      <c r="P108" s="11" t="inlineStr"/>
    </row>
    <row r="109">
      <c r="A109" s="10" t="n">
        <v>108</v>
      </c>
      <c r="B109" s="10" t="inlineStr">
        <is>
          <t>TC-SEC-SCAN-004</t>
        </is>
      </c>
      <c r="C109" s="10" t="inlineStr">
        <is>
          <t>Security</t>
        </is>
      </c>
      <c r="D109" s="10" t="inlineStr">
        <is>
          <t>Security — Quét tự động &amp; quy trình</t>
        </is>
      </c>
      <c r="E109" s="10" t="inlineStr">
        <is>
          <t>Secret scanning</t>
        </is>
      </c>
      <c r="F109" s="10" t="inlineStr"/>
      <c r="G109" s="10" t="inlineStr">
        <is>
          <t>gitleaks</t>
        </is>
      </c>
      <c r="H109" s="10" t="inlineStr"/>
      <c r="I109" s="10" t="inlineStr">
        <is>
          <t>0 phát hiện</t>
        </is>
      </c>
      <c r="J109" s="10" t="inlineStr"/>
      <c r="K109" s="10" t="inlineStr"/>
      <c r="L109" s="10" t="inlineStr">
        <is>
          <t>NFR-SEC-007</t>
        </is>
      </c>
      <c r="M109" s="11" t="inlineStr">
        <is>
          <t>Chưa chạy</t>
        </is>
      </c>
      <c r="N109" s="11" t="inlineStr"/>
      <c r="O109" s="11" t="inlineStr"/>
      <c r="P109" s="11" t="inlineStr"/>
    </row>
    <row r="110">
      <c r="A110" s="10" t="n">
        <v>109</v>
      </c>
      <c r="B110" s="10" t="inlineStr">
        <is>
          <t>TC-SEC-SCAN-005</t>
        </is>
      </c>
      <c r="C110" s="10" t="inlineStr">
        <is>
          <t>Security</t>
        </is>
      </c>
      <c r="D110" s="10" t="inlineStr">
        <is>
          <t>Security — Quét tự động &amp; quy trình</t>
        </is>
      </c>
      <c r="E110" s="10" t="inlineStr">
        <is>
          <t>Image</t>
        </is>
      </c>
      <c r="F110" s="10" t="inlineStr"/>
      <c r="G110" s="10" t="inlineStr">
        <is>
          <t>Trivy</t>
        </is>
      </c>
      <c r="H110" s="10" t="inlineStr"/>
      <c r="I110" s="10" t="inlineStr">
        <is>
          <t>0 lỗ hổng Critical</t>
        </is>
      </c>
      <c r="J110" s="10" t="inlineStr"/>
      <c r="K110" s="10" t="inlineStr"/>
      <c r="L110" s="10" t="inlineStr">
        <is>
          <t>NFR-SEC-015</t>
        </is>
      </c>
      <c r="M110" s="11" t="inlineStr">
        <is>
          <t>Chưa chạy</t>
        </is>
      </c>
      <c r="N110" s="11" t="inlineStr"/>
      <c r="O110" s="11" t="inlineStr"/>
      <c r="P110" s="11" t="inlineStr"/>
    </row>
    <row r="111">
      <c r="A111" s="10" t="n">
        <v>110</v>
      </c>
      <c r="B111" s="10" t="inlineStr">
        <is>
          <t>TC-SEC-SCAN-006</t>
        </is>
      </c>
      <c r="C111" s="10" t="inlineStr">
        <is>
          <t>Security</t>
        </is>
      </c>
      <c r="D111" s="10" t="inlineStr">
        <is>
          <t>Security — Quét tự động &amp; quy trình</t>
        </is>
      </c>
      <c r="E111" s="10" t="inlineStr">
        <is>
          <t>DAST</t>
        </is>
      </c>
      <c r="F111" s="10" t="inlineStr"/>
      <c r="G111" s="10" t="inlineStr">
        <is>
          <t>OWASP ZAP baseline trên staging</t>
        </is>
      </c>
      <c r="H111" s="10" t="inlineStr"/>
      <c r="I111" s="10" t="inlineStr">
        <is>
          <t>0 cảnh báo High</t>
        </is>
      </c>
      <c r="J111" s="10" t="inlineStr"/>
      <c r="K111" s="10" t="inlineStr"/>
      <c r="L111" s="10" t="inlineStr">
        <is>
          <t>NFR-SEC-010</t>
        </is>
      </c>
      <c r="M111" s="11" t="inlineStr">
        <is>
          <t>Chưa chạy</t>
        </is>
      </c>
      <c r="N111" s="11" t="inlineStr"/>
      <c r="O111" s="11" t="inlineStr"/>
      <c r="P111" s="11" t="inlineStr"/>
    </row>
    <row r="112">
      <c r="A112" s="10" t="n">
        <v>111</v>
      </c>
      <c r="B112" s="10" t="inlineStr">
        <is>
          <t>TC-SEC-SCAN-007</t>
        </is>
      </c>
      <c r="C112" s="10" t="inlineStr">
        <is>
          <t>Security</t>
        </is>
      </c>
      <c r="D112" s="10" t="inlineStr">
        <is>
          <t>Security — Quét tự động &amp; quy trình</t>
        </is>
      </c>
      <c r="E112" s="10" t="inlineStr">
        <is>
          <t>Pentest thủ công</t>
        </is>
      </c>
      <c r="F112" s="10" t="inlineStr"/>
      <c r="G112" s="10" t="inlineStr">
        <is>
          <t>Checklist OWASP ASVS L2</t>
        </is>
      </c>
      <c r="H112" s="10" t="inlineStr"/>
      <c r="I112" s="10" t="inlineStr">
        <is>
          <t>Không còn lỗi High/Critical mở</t>
        </is>
      </c>
      <c r="J112" s="10" t="inlineStr"/>
      <c r="K112" s="10" t="inlineStr"/>
      <c r="L112" s="10" t="inlineStr">
        <is>
          <t>NFR-SEC-010</t>
        </is>
      </c>
      <c r="M112" s="11" t="inlineStr">
        <is>
          <t>Chưa chạy</t>
        </is>
      </c>
      <c r="N112" s="11" t="inlineStr"/>
      <c r="O112" s="11" t="inlineStr"/>
      <c r="P112" s="11" t="inlineStr"/>
    </row>
    <row r="113">
      <c r="A113" s="10" t="n">
        <v>112</v>
      </c>
      <c r="B113" s="10" t="inlineStr">
        <is>
          <t>TC-IDN-API-001</t>
        </is>
      </c>
      <c r="C113" s="10" t="inlineStr">
        <is>
          <t>Identity</t>
        </is>
      </c>
      <c r="D113" s="10" t="inlineStr">
        <is>
          <t>API — Backend — API &amp; Integration</t>
        </is>
      </c>
      <c r="E113" s="10" t="inlineStr">
        <is>
          <t>Đăng nhập thành công</t>
        </is>
      </c>
      <c r="F113" s="10" t="inlineStr">
        <is>
          <t>Tài khoản `admin` đang hoạt động</t>
        </is>
      </c>
      <c r="G113" s="10" t="inlineStr">
        <is>
          <t>`POST /api/v1/auth/login`</t>
        </is>
      </c>
      <c r="H113" s="10" t="inlineStr">
        <is>
          <t>`{"username":"admin","password":"Admin@Test2026!"}`</t>
        </is>
      </c>
      <c r="I113" s="10" t="inlineStr">
        <is>
          <t>200; body có `accessToken`, `expiresIn=900`, `user.role="ADMIN"`; header `Set-Cookie: soe_rt=…; HttpOnly; Secure; SameSite=Strict; Path=/api/v1/auth`; không có `passwordHash`</t>
        </is>
      </c>
      <c r="J113" s="10" t="inlineStr">
        <is>
          <t>Functional</t>
        </is>
      </c>
      <c r="K113" s="10" t="inlineStr">
        <is>
          <t>P1 - Cao</t>
        </is>
      </c>
      <c r="L113" s="10" t="inlineStr">
        <is>
          <t>FR-IDN-001</t>
        </is>
      </c>
      <c r="M113" s="11" t="inlineStr">
        <is>
          <t>Chưa chạy</t>
        </is>
      </c>
      <c r="N113" s="11" t="inlineStr"/>
      <c r="O113" s="11" t="inlineStr"/>
      <c r="P113" s="11" t="inlineStr"/>
    </row>
    <row r="114">
      <c r="A114" s="10" t="n">
        <v>113</v>
      </c>
      <c r="B114" s="10" t="inlineStr">
        <is>
          <t>TC-IDN-API-002</t>
        </is>
      </c>
      <c r="C114" s="10" t="inlineStr">
        <is>
          <t>Identity</t>
        </is>
      </c>
      <c r="D114" s="10" t="inlineStr">
        <is>
          <t>API — Backend — API &amp; Integration</t>
        </is>
      </c>
      <c r="E114" s="10" t="inlineStr">
        <is>
          <t>Sai mật khẩu</t>
        </is>
      </c>
      <c r="F114" s="10" t="inlineStr">
        <is>
          <t>—</t>
        </is>
      </c>
      <c r="G114" s="10" t="inlineStr">
        <is>
          <t>Đăng nhập với mật khẩu sai</t>
        </is>
      </c>
      <c r="H114" s="10" t="inlineStr">
        <is>
          <t>`admin` / `SaiMatKhau1`</t>
        </is>
      </c>
      <c r="I114" s="10" t="inlineStr">
        <is>
          <t>401 `SOE-IDN-401`, thông báo “Tên đăng nhập hoặc mật khẩu không đúng.”; không có cookie</t>
        </is>
      </c>
      <c r="J114" s="10" t="inlineStr">
        <is>
          <t>Security</t>
        </is>
      </c>
      <c r="K114" s="10" t="inlineStr">
        <is>
          <t>P1 - Cao</t>
        </is>
      </c>
      <c r="L114" s="10" t="inlineStr">
        <is>
          <t>BR-IDN-001</t>
        </is>
      </c>
      <c r="M114" s="11" t="inlineStr">
        <is>
          <t>Chưa chạy</t>
        </is>
      </c>
      <c r="N114" s="11" t="inlineStr"/>
      <c r="O114" s="11" t="inlineStr"/>
      <c r="P114" s="11" t="inlineStr"/>
    </row>
    <row r="115">
      <c r="A115" s="10" t="n">
        <v>114</v>
      </c>
      <c r="B115" s="10" t="inlineStr">
        <is>
          <t>TC-IDN-API-003</t>
        </is>
      </c>
      <c r="C115" s="10" t="inlineStr">
        <is>
          <t>Identity</t>
        </is>
      </c>
      <c r="D115" s="10" t="inlineStr">
        <is>
          <t>API — Backend — API &amp; Integration</t>
        </is>
      </c>
      <c r="E115" s="10" t="inlineStr">
        <is>
          <t>Tài khoản không tồn tại</t>
        </is>
      </c>
      <c r="F115" s="10" t="inlineStr">
        <is>
          <t>—</t>
        </is>
      </c>
      <c r="G115" s="10" t="inlineStr">
        <is>
          <t>Đăng nhập với username lạ</t>
        </is>
      </c>
      <c r="H115" s="10" t="inlineStr">
        <is>
          <t>`khongtontai` / `bat-ky`</t>
        </is>
      </c>
      <c r="I115" s="10" t="inlineStr">
        <is>
          <t>401 với cùng thông báo và mã như TC-002; chênh lệch thời gian phản hồi &lt; 100 ms so với TC-002</t>
        </is>
      </c>
      <c r="J115" s="10" t="inlineStr">
        <is>
          <t>Security</t>
        </is>
      </c>
      <c r="K115" s="10" t="inlineStr">
        <is>
          <t>P1 - Cao</t>
        </is>
      </c>
      <c r="L115" s="10" t="inlineStr">
        <is>
          <t>BR-IDN-002</t>
        </is>
      </c>
      <c r="M115" s="11" t="inlineStr">
        <is>
          <t>Chưa chạy</t>
        </is>
      </c>
      <c r="N115" s="11" t="inlineStr"/>
      <c r="O115" s="11" t="inlineStr"/>
      <c r="P115" s="11" t="inlineStr"/>
    </row>
    <row r="116">
      <c r="A116" s="10" t="n">
        <v>115</v>
      </c>
      <c r="B116" s="10" t="inlineStr">
        <is>
          <t>TC-IDN-API-004</t>
        </is>
      </c>
      <c r="C116" s="10" t="inlineStr">
        <is>
          <t>Identity</t>
        </is>
      </c>
      <c r="D116" s="10" t="inlineStr">
        <is>
          <t>API — Backend — API &amp; Integration</t>
        </is>
      </c>
      <c r="E116" s="10" t="inlineStr">
        <is>
          <t>Khóa sau 5 lần sai</t>
        </is>
      </c>
      <c r="F116" s="10" t="inlineStr">
        <is>
          <t>Tài khoản `operator` mở khóa</t>
        </is>
      </c>
      <c r="G116" s="10" t="inlineStr">
        <is>
          <t>Gọi login sai 5 lần rồi lần 6</t>
        </is>
      </c>
      <c r="H116" s="10" t="inlineStr">
        <is>
          <t>mật khẩu sai</t>
        </is>
      </c>
      <c r="I116" s="10" t="inlineStr">
        <is>
          <t>Lần 6 trả 423 `SOE-IDN-423` kèm thời gian còn lại; DB `LockedUntil` = now+15′; phát `UserLockedV1`</t>
        </is>
      </c>
      <c r="J116" s="10" t="inlineStr">
        <is>
          <t>Security</t>
        </is>
      </c>
      <c r="K116" s="10" t="inlineStr">
        <is>
          <t>P1 - Cao</t>
        </is>
      </c>
      <c r="L116" s="10" t="inlineStr">
        <is>
          <t>FR-IDN-005</t>
        </is>
      </c>
      <c r="M116" s="11" t="inlineStr">
        <is>
          <t>Chưa chạy</t>
        </is>
      </c>
      <c r="N116" s="11" t="inlineStr"/>
      <c r="O116" s="11" t="inlineStr"/>
      <c r="P116" s="11" t="inlineStr"/>
    </row>
    <row r="117">
      <c r="A117" s="10" t="n">
        <v>116</v>
      </c>
      <c r="B117" s="10" t="inlineStr">
        <is>
          <t>TC-IDN-API-005</t>
        </is>
      </c>
      <c r="C117" s="10" t="inlineStr">
        <is>
          <t>Identity</t>
        </is>
      </c>
      <c r="D117" s="10" t="inlineStr">
        <is>
          <t>API — Backend — API &amp; Integration</t>
        </is>
      </c>
      <c r="E117" s="10" t="inlineStr">
        <is>
          <t>Đăng nhập đúng khi đang khóa</t>
        </is>
      </c>
      <c r="F117" s="10" t="inlineStr">
        <is>
          <t>`locked_user` đang khóa</t>
        </is>
      </c>
      <c r="G117" s="10" t="inlineStr">
        <is>
          <t>Login đúng mật khẩu</t>
        </is>
      </c>
      <c r="H117" s="10" t="inlineStr">
        <is>
          <t>—</t>
        </is>
      </c>
      <c r="I117" s="10" t="inlineStr">
        <is>
          <t>423, không phát hành token</t>
        </is>
      </c>
      <c r="J117" s="10" t="inlineStr">
        <is>
          <t>Security</t>
        </is>
      </c>
      <c r="K117" s="10" t="inlineStr">
        <is>
          <t>P1 - Cao</t>
        </is>
      </c>
      <c r="L117" s="10" t="inlineStr">
        <is>
          <t>FR-IDN-005</t>
        </is>
      </c>
      <c r="M117" s="11" t="inlineStr">
        <is>
          <t>Chưa chạy</t>
        </is>
      </c>
      <c r="N117" s="11" t="inlineStr"/>
      <c r="O117" s="11" t="inlineStr"/>
      <c r="P117" s="11" t="inlineStr"/>
    </row>
    <row r="118">
      <c r="A118" s="10" t="n">
        <v>117</v>
      </c>
      <c r="B118" s="10" t="inlineStr">
        <is>
          <t>TC-IDN-API-006</t>
        </is>
      </c>
      <c r="C118" s="10" t="inlineStr">
        <is>
          <t>Identity</t>
        </is>
      </c>
      <c r="D118" s="10" t="inlineStr">
        <is>
          <t>API — Backend — API &amp; Integration</t>
        </is>
      </c>
      <c r="E118" s="10" t="inlineStr">
        <is>
          <t>Tự mở khóa sau 15 phút</t>
        </is>
      </c>
      <c r="F118" s="10" t="inlineStr">
        <is>
          <t>`locked_user`, giả lập `IClock` +16′</t>
        </is>
      </c>
      <c r="G118" s="10" t="inlineStr">
        <is>
          <t>Login đúng</t>
        </is>
      </c>
      <c r="H118" s="10" t="inlineStr">
        <is>
          <t>—</t>
        </is>
      </c>
      <c r="I118" s="10" t="inlineStr">
        <is>
          <t>200, `FailedLoginCount = 0`</t>
        </is>
      </c>
      <c r="J118" s="10" t="inlineStr">
        <is>
          <t>Functional</t>
        </is>
      </c>
      <c r="K118" s="10" t="inlineStr">
        <is>
          <t>P2 - Trung bình</t>
        </is>
      </c>
      <c r="L118" s="10" t="inlineStr">
        <is>
          <t>FR-IDN-005</t>
        </is>
      </c>
      <c r="M118" s="11" t="inlineStr">
        <is>
          <t>Chưa chạy</t>
        </is>
      </c>
      <c r="N118" s="11" t="inlineStr"/>
      <c r="O118" s="11" t="inlineStr"/>
      <c r="P118" s="11" t="inlineStr"/>
    </row>
    <row r="119">
      <c r="A119" s="10" t="n">
        <v>118</v>
      </c>
      <c r="B119" s="10" t="inlineStr">
        <is>
          <t>TC-IDN-API-007</t>
        </is>
      </c>
      <c r="C119" s="10" t="inlineStr">
        <is>
          <t>Identity</t>
        </is>
      </c>
      <c r="D119" s="10" t="inlineStr">
        <is>
          <t>API — Backend — API &amp; Integration</t>
        </is>
      </c>
      <c r="E119" s="10" t="inlineStr">
        <is>
          <t>Tài khoản bị vô hiệu hóa</t>
        </is>
      </c>
      <c r="F119" s="10" t="inlineStr">
        <is>
          <t>`disabled_user`</t>
        </is>
      </c>
      <c r="G119" s="10" t="inlineStr">
        <is>
          <t>Login đúng mật khẩu</t>
        </is>
      </c>
      <c r="H119" s="10" t="inlineStr">
        <is>
          <t>—</t>
        </is>
      </c>
      <c r="I119" s="10" t="inlineStr">
        <is>
          <t>403 `SOE-IDN-403`</t>
        </is>
      </c>
      <c r="J119" s="10" t="inlineStr">
        <is>
          <t>Security</t>
        </is>
      </c>
      <c r="K119" s="10" t="inlineStr">
        <is>
          <t>P1 - Cao</t>
        </is>
      </c>
      <c r="L119" s="10" t="inlineStr">
        <is>
          <t>BR-IDN-006</t>
        </is>
      </c>
      <c r="M119" s="11" t="inlineStr">
        <is>
          <t>Chưa chạy</t>
        </is>
      </c>
      <c r="N119" s="11" t="inlineStr"/>
      <c r="O119" s="11" t="inlineStr"/>
      <c r="P119" s="11" t="inlineStr"/>
    </row>
    <row r="120">
      <c r="A120" s="10" t="n">
        <v>119</v>
      </c>
      <c r="B120" s="10" t="inlineStr">
        <is>
          <t>TC-IDN-API-008</t>
        </is>
      </c>
      <c r="C120" s="10" t="inlineStr">
        <is>
          <t>Identity</t>
        </is>
      </c>
      <c r="D120" s="10" t="inlineStr">
        <is>
          <t>API — Backend — API &amp; Integration</t>
        </is>
      </c>
      <c r="E120" s="10" t="inlineStr">
        <is>
          <t>Rate limit đăng nhập</t>
        </is>
      </c>
      <c r="F120" s="10" t="inlineStr">
        <is>
          <t>—</t>
        </is>
      </c>
      <c r="G120" s="10" t="inlineStr">
        <is>
          <t>Gửi 6 request login trong 1 phút cùng IP</t>
        </is>
      </c>
      <c r="H120" s="10" t="inlineStr">
        <is>
          <t>—</t>
        </is>
      </c>
      <c r="I120" s="10" t="inlineStr">
        <is>
          <t>Request thứ 6 trả 429 kèm `Retry-After`</t>
        </is>
      </c>
      <c r="J120" s="10" t="inlineStr">
        <is>
          <t>Security</t>
        </is>
      </c>
      <c r="K120" s="10" t="inlineStr">
        <is>
          <t>P1 - Cao</t>
        </is>
      </c>
      <c r="L120" s="10" t="inlineStr">
        <is>
          <t>FR-GW-004</t>
        </is>
      </c>
      <c r="M120" s="11" t="inlineStr">
        <is>
          <t>Chưa chạy</t>
        </is>
      </c>
      <c r="N120" s="11" t="inlineStr"/>
      <c r="O120" s="11" t="inlineStr"/>
      <c r="P120" s="11" t="inlineStr"/>
    </row>
    <row r="121">
      <c r="A121" s="10" t="n">
        <v>120</v>
      </c>
      <c r="B121" s="10" t="inlineStr">
        <is>
          <t>TC-IDN-API-009</t>
        </is>
      </c>
      <c r="C121" s="10" t="inlineStr">
        <is>
          <t>Identity</t>
        </is>
      </c>
      <c r="D121" s="10" t="inlineStr">
        <is>
          <t>API — Backend — API &amp; Integration</t>
        </is>
      </c>
      <c r="E121" s="10" t="inlineStr">
        <is>
          <t>Buộc đổi mật khẩu lần đầu</t>
        </is>
      </c>
      <c r="F121" s="10" t="inlineStr">
        <is>
          <t>Người dùng vừa được tạo</t>
        </is>
      </c>
      <c r="G121" s="10" t="inlineStr">
        <is>
          <t>Login</t>
        </is>
      </c>
      <c r="H121" s="10" t="inlineStr">
        <is>
          <t>—</t>
        </is>
      </c>
      <c r="I121" s="10" t="inlineStr">
        <is>
          <t>200 với `mustChangePassword = true`</t>
        </is>
      </c>
      <c r="J121" s="10" t="inlineStr">
        <is>
          <t>Functional</t>
        </is>
      </c>
      <c r="K121" s="10" t="inlineStr">
        <is>
          <t>P2 - Trung bình</t>
        </is>
      </c>
      <c r="L121" s="10" t="inlineStr">
        <is>
          <t>FR-IDN-006</t>
        </is>
      </c>
      <c r="M121" s="11" t="inlineStr">
        <is>
          <t>Chưa chạy</t>
        </is>
      </c>
      <c r="N121" s="11" t="inlineStr"/>
      <c r="O121" s="11" t="inlineStr"/>
      <c r="P121" s="11" t="inlineStr"/>
    </row>
    <row r="122">
      <c r="A122" s="10" t="n">
        <v>121</v>
      </c>
      <c r="B122" s="10" t="inlineStr">
        <is>
          <t>TC-IDN-API-010</t>
        </is>
      </c>
      <c r="C122" s="10" t="inlineStr">
        <is>
          <t>Identity</t>
        </is>
      </c>
      <c r="D122" s="10" t="inlineStr">
        <is>
          <t>API — Backend — API &amp; Integration</t>
        </is>
      </c>
      <c r="E122" s="10" t="inlineStr">
        <is>
          <t>Claim của access token</t>
        </is>
      </c>
      <c r="F122" s="10" t="inlineStr">
        <is>
          <t>Đã đăng nhập</t>
        </is>
      </c>
      <c r="G122" s="10" t="inlineStr">
        <is>
          <t>Giải mã JWT</t>
        </is>
      </c>
      <c r="H122" s="10" t="inlineStr">
        <is>
          <t>—</t>
        </is>
      </c>
      <c r="I122" s="10" t="inlineStr">
        <is>
          <t>Có `sub`, `role`, `sid`, `jti`, `iss=soe-identity`, `aud=soe-api`, `pwd_at`; `alg=RS256`; không chứa email/hash</t>
        </is>
      </c>
      <c r="J122" s="10" t="inlineStr">
        <is>
          <t>Security</t>
        </is>
      </c>
      <c r="K122" s="10" t="inlineStr">
        <is>
          <t>P1 - Cao</t>
        </is>
      </c>
      <c r="L122" s="10" t="inlineStr">
        <is>
          <t>BR-IDN-003</t>
        </is>
      </c>
      <c r="M122" s="11" t="inlineStr">
        <is>
          <t>Chưa chạy</t>
        </is>
      </c>
      <c r="N122" s="11" t="inlineStr"/>
      <c r="O122" s="11" t="inlineStr"/>
      <c r="P122" s="11" t="inlineStr"/>
    </row>
    <row r="123">
      <c r="A123" s="10" t="n">
        <v>122</v>
      </c>
      <c r="B123" s="10" t="inlineStr">
        <is>
          <t>TC-IDN-API-011</t>
        </is>
      </c>
      <c r="C123" s="10" t="inlineStr">
        <is>
          <t>Identity</t>
        </is>
      </c>
      <c r="D123" s="10" t="inlineStr">
        <is>
          <t>API — Backend — API &amp; Integration</t>
        </is>
      </c>
      <c r="E123" s="10" t="inlineStr">
        <is>
          <t>Refresh thành công &amp; xoay vòng</t>
        </is>
      </c>
      <c r="F123" s="10" t="inlineStr">
        <is>
          <t>Có cookie refresh hợp lệ</t>
        </is>
      </c>
      <c r="G123" s="10" t="inlineStr">
        <is>
          <t>`POST /auth/refresh`</t>
        </is>
      </c>
      <c r="H123" s="10" t="inlineStr">
        <is>
          <t>cookie</t>
        </is>
      </c>
      <c r="I123" s="10" t="inlineStr">
        <is>
          <t>200, access token mới; cookie mới khác cookie cũ; bản ghi cũ có `UsedAt`</t>
        </is>
      </c>
      <c r="J123" s="10" t="inlineStr">
        <is>
          <t>Functional</t>
        </is>
      </c>
      <c r="K123" s="10" t="inlineStr">
        <is>
          <t>P1 - Cao</t>
        </is>
      </c>
      <c r="L123" s="10" t="inlineStr">
        <is>
          <t>FR-IDN-002</t>
        </is>
      </c>
      <c r="M123" s="11" t="inlineStr">
        <is>
          <t>Chưa chạy</t>
        </is>
      </c>
      <c r="N123" s="11" t="inlineStr"/>
      <c r="O123" s="11" t="inlineStr"/>
      <c r="P123" s="11" t="inlineStr"/>
    </row>
    <row r="124">
      <c r="A124" s="10" t="n">
        <v>123</v>
      </c>
      <c r="B124" s="10" t="inlineStr">
        <is>
          <t>TC-IDN-API-012</t>
        </is>
      </c>
      <c r="C124" s="10" t="inlineStr">
        <is>
          <t>Identity</t>
        </is>
      </c>
      <c r="D124" s="10" t="inlineStr">
        <is>
          <t>API — Backend — API &amp; Integration</t>
        </is>
      </c>
      <c r="E124" s="10" t="inlineStr">
        <is>
          <t>Tái sử dụng refresh token</t>
        </is>
      </c>
      <c r="F124" s="10" t="inlineStr">
        <is>
          <t>Đã refresh một lần</t>
        </is>
      </c>
      <c r="G124" s="10" t="inlineStr">
        <is>
          <t>Gọi refresh lại bằng token cũ</t>
        </is>
      </c>
      <c r="H124" s="10" t="inlineStr">
        <is>
          <t>token cũ</t>
        </is>
      </c>
      <c r="I124" s="10" t="inlineStr">
        <is>
          <t>401; toàn bộ token cùng `FamilyId` bị thu hồi; audit `TOKEN_REUSE_DETECTED`</t>
        </is>
      </c>
      <c r="J124" s="10" t="inlineStr">
        <is>
          <t>Security</t>
        </is>
      </c>
      <c r="K124" s="10" t="inlineStr">
        <is>
          <t>P1 - Cao</t>
        </is>
      </c>
      <c r="L124" s="10" t="inlineStr">
        <is>
          <t>FR-IDN-003</t>
        </is>
      </c>
      <c r="M124" s="11" t="inlineStr">
        <is>
          <t>Chưa chạy</t>
        </is>
      </c>
      <c r="N124" s="11" t="inlineStr"/>
      <c r="O124" s="11" t="inlineStr"/>
      <c r="P124" s="11" t="inlineStr"/>
    </row>
    <row r="125">
      <c r="A125" s="10" t="n">
        <v>124</v>
      </c>
      <c r="B125" s="10" t="inlineStr">
        <is>
          <t>TC-IDN-API-013</t>
        </is>
      </c>
      <c r="C125" s="10" t="inlineStr">
        <is>
          <t>Identity</t>
        </is>
      </c>
      <c r="D125" s="10" t="inlineStr">
        <is>
          <t>API — Backend — API &amp; Integration</t>
        </is>
      </c>
      <c r="E125" s="10" t="inlineStr">
        <is>
          <t>Refresh token hết hạn</t>
        </is>
      </c>
      <c r="F125" s="10" t="inlineStr">
        <is>
          <t>Token quá 7 ngày</t>
        </is>
      </c>
      <c r="G125" s="10" t="inlineStr">
        <is>
          <t>`POST /auth/refresh`</t>
        </is>
      </c>
      <c r="H125" s="10" t="inlineStr">
        <is>
          <t>—</t>
        </is>
      </c>
      <c r="I125" s="10" t="inlineStr">
        <is>
          <t>401 `SOE-IDN-402`</t>
        </is>
      </c>
      <c r="J125" s="10" t="inlineStr">
        <is>
          <t>Functional</t>
        </is>
      </c>
      <c r="K125" s="10" t="inlineStr">
        <is>
          <t>P2 - Trung bình</t>
        </is>
      </c>
      <c r="L125" s="10" t="inlineStr">
        <is>
          <t>BR-IDN-005</t>
        </is>
      </c>
      <c r="M125" s="11" t="inlineStr">
        <is>
          <t>Chưa chạy</t>
        </is>
      </c>
      <c r="N125" s="11" t="inlineStr"/>
      <c r="O125" s="11" t="inlineStr"/>
      <c r="P125" s="11" t="inlineStr"/>
    </row>
    <row r="126">
      <c r="A126" s="10" t="n">
        <v>125</v>
      </c>
      <c r="B126" s="10" t="inlineStr">
        <is>
          <t>TC-IDN-API-014</t>
        </is>
      </c>
      <c r="C126" s="10" t="inlineStr">
        <is>
          <t>Identity</t>
        </is>
      </c>
      <c r="D126" s="10" t="inlineStr">
        <is>
          <t>API — Backend — API &amp; Integration</t>
        </is>
      </c>
      <c r="E126" s="10" t="inlineStr">
        <is>
          <t>Đăng xuất</t>
        </is>
      </c>
      <c r="F126" s="10" t="inlineStr">
        <is>
          <t>Đang đăng nhập</t>
        </is>
      </c>
      <c r="G126" s="10" t="inlineStr">
        <is>
          <t>`POST /auth/logout`</t>
        </is>
      </c>
      <c r="H126" s="10" t="inlineStr">
        <is>
          <t>Bearer token</t>
        </is>
      </c>
      <c r="I126" s="10" t="inlineStr">
        <is>
          <t>204; cookie bị xóa; refresh token bị thu hồi; dùng lại token cũ → 401</t>
        </is>
      </c>
      <c r="J126" s="10" t="inlineStr">
        <is>
          <t>Functional</t>
        </is>
      </c>
      <c r="K126" s="10" t="inlineStr">
        <is>
          <t>P1 - Cao</t>
        </is>
      </c>
      <c r="L126" s="10" t="inlineStr">
        <is>
          <t>FR-IDN-004</t>
        </is>
      </c>
      <c r="M126" s="11" t="inlineStr">
        <is>
          <t>Chưa chạy</t>
        </is>
      </c>
      <c r="N126" s="11" t="inlineStr"/>
      <c r="O126" s="11" t="inlineStr"/>
      <c r="P126" s="11" t="inlineStr"/>
    </row>
    <row r="127">
      <c r="A127" s="10" t="n">
        <v>126</v>
      </c>
      <c r="B127" s="10" t="inlineStr">
        <is>
          <t>TC-IDN-API-015</t>
        </is>
      </c>
      <c r="C127" s="10" t="inlineStr">
        <is>
          <t>Identity</t>
        </is>
      </c>
      <c r="D127" s="10" t="inlineStr">
        <is>
          <t>API — Backend — API &amp; Integration</t>
        </is>
      </c>
      <c r="E127" s="10" t="inlineStr">
        <is>
          <t>Giới hạn 5 phiên</t>
        </is>
      </c>
      <c r="F127" s="10" t="inlineStr">
        <is>
          <t>Đã đăng nhập 5 thiết bị</t>
        </is>
      </c>
      <c r="G127" s="10" t="inlineStr">
        <is>
          <t>Đăng nhập thiết bị thứ 6</t>
        </is>
      </c>
      <c r="H127" s="10" t="inlineStr">
        <is>
          <t>—</t>
        </is>
      </c>
      <c r="I127" s="10" t="inlineStr">
        <is>
          <t>Phiên cũ nhất bị thu hồi; tổng phiên hoạt động = 5</t>
        </is>
      </c>
      <c r="J127" s="10" t="inlineStr">
        <is>
          <t>Security</t>
        </is>
      </c>
      <c r="K127" s="10" t="inlineStr">
        <is>
          <t>P3 - Thấp</t>
        </is>
      </c>
      <c r="L127" s="10" t="inlineStr">
        <is>
          <t>BR-IDN-008</t>
        </is>
      </c>
      <c r="M127" s="11" t="inlineStr">
        <is>
          <t>Chưa chạy</t>
        </is>
      </c>
      <c r="N127" s="11" t="inlineStr"/>
      <c r="O127" s="11" t="inlineStr"/>
      <c r="P127" s="11" t="inlineStr"/>
    </row>
    <row r="128">
      <c r="A128" s="10" t="n">
        <v>127</v>
      </c>
      <c r="B128" s="10" t="inlineStr">
        <is>
          <t>TC-IDN-API-016</t>
        </is>
      </c>
      <c r="C128" s="10" t="inlineStr">
        <is>
          <t>Identity</t>
        </is>
      </c>
      <c r="D128" s="10" t="inlineStr">
        <is>
          <t>API — Backend — API &amp; Integration</t>
        </is>
      </c>
      <c r="E128" s="10" t="inlineStr">
        <is>
          <t>Token phát hành trước khi đổi mật khẩu</t>
        </is>
      </c>
      <c r="F128" s="10" t="inlineStr">
        <is>
          <t>Đổi mật khẩu ở phiên khác</t>
        </is>
      </c>
      <c r="G128" s="10" t="inlineStr">
        <is>
          <t>Gọi API bằng token cũ</t>
        </is>
      </c>
      <c r="H128" s="10" t="inlineStr">
        <is>
          <t>—</t>
        </is>
      </c>
      <c r="I128" s="10" t="inlineStr">
        <is>
          <t>401 (so sánh `pwd_at` &lt; `PasswordChangedAt`)</t>
        </is>
      </c>
      <c r="J128" s="10" t="inlineStr">
        <is>
          <t>Security</t>
        </is>
      </c>
      <c r="K128" s="10" t="inlineStr">
        <is>
          <t>P1 - Cao</t>
        </is>
      </c>
      <c r="L128" s="10" t="inlineStr">
        <is>
          <t>BR-IDN-004</t>
        </is>
      </c>
      <c r="M128" s="11" t="inlineStr">
        <is>
          <t>Chưa chạy</t>
        </is>
      </c>
      <c r="N128" s="11" t="inlineStr"/>
      <c r="O128" s="11" t="inlineStr"/>
      <c r="P128" s="11" t="inlineStr"/>
    </row>
    <row r="129">
      <c r="A129" s="10" t="n">
        <v>128</v>
      </c>
      <c r="B129" s="10" t="inlineStr">
        <is>
          <t>TC-IDN-API-017</t>
        </is>
      </c>
      <c r="C129" s="10" t="inlineStr">
        <is>
          <t>Identity</t>
        </is>
      </c>
      <c r="D129" s="10" t="inlineStr">
        <is>
          <t>API — Backend — API &amp; Integration</t>
        </is>
      </c>
      <c r="E129" s="10" t="inlineStr">
        <is>
          <t>`GET /me`</t>
        </is>
      </c>
      <c r="F129" s="10" t="inlineStr">
        <is>
          <t>Đăng nhập OPERATOR</t>
        </is>
      </c>
      <c r="G129" s="10" t="inlineStr">
        <is>
          <t>Gọi `/me`</t>
        </is>
      </c>
      <c r="H129" s="10" t="inlineStr">
        <is>
          <t>—</t>
        </is>
      </c>
      <c r="I129" s="10" t="inlineStr">
        <is>
          <t>200 với `role="OPERATOR"` và danh sách `permissions` đúng</t>
        </is>
      </c>
      <c r="J129" s="10" t="inlineStr">
        <is>
          <t>Functional</t>
        </is>
      </c>
      <c r="K129" s="10" t="inlineStr">
        <is>
          <t>P2 - Trung bình</t>
        </is>
      </c>
      <c r="L129" s="10" t="inlineStr">
        <is>
          <t>FR-IDN-009</t>
        </is>
      </c>
      <c r="M129" s="11" t="inlineStr">
        <is>
          <t>Chưa chạy</t>
        </is>
      </c>
      <c r="N129" s="11" t="inlineStr"/>
      <c r="O129" s="11" t="inlineStr"/>
      <c r="P129" s="11" t="inlineStr"/>
    </row>
    <row r="130">
      <c r="A130" s="10" t="n">
        <v>129</v>
      </c>
      <c r="B130" s="10" t="inlineStr">
        <is>
          <t>TC-IDN-API-018</t>
        </is>
      </c>
      <c r="C130" s="10" t="inlineStr">
        <is>
          <t>Identity</t>
        </is>
      </c>
      <c r="D130" s="10" t="inlineStr">
        <is>
          <t>API — Backend — API &amp; Integration</t>
        </is>
      </c>
      <c r="E130" s="10" t="inlineStr">
        <is>
          <t>JWKS khả dụng</t>
        </is>
      </c>
      <c r="F130" s="10" t="inlineStr">
        <is>
          <t>—</t>
        </is>
      </c>
      <c r="G130" s="10" t="inlineStr">
        <is>
          <t>`GET /.well-known/jwks.json`</t>
        </is>
      </c>
      <c r="H130" s="10" t="inlineStr">
        <is>
          <t>—</t>
        </is>
      </c>
      <c r="I130" s="10" t="inlineStr">
        <is>
          <t>200, chứa ≥ 1 khóa RSA có `kid`; cache header hợp lệ</t>
        </is>
      </c>
      <c r="J130" s="10" t="inlineStr">
        <is>
          <t>Functional</t>
        </is>
      </c>
      <c r="K130" s="10" t="inlineStr">
        <is>
          <t>P1 - Cao</t>
        </is>
      </c>
      <c r="L130" s="10" t="inlineStr">
        <is>
          <t>FR-IDN-010</t>
        </is>
      </c>
      <c r="M130" s="11" t="inlineStr">
        <is>
          <t>Chưa chạy</t>
        </is>
      </c>
      <c r="N130" s="11" t="inlineStr"/>
      <c r="O130" s="11" t="inlineStr"/>
      <c r="P130" s="11" t="inlineStr"/>
    </row>
    <row r="131">
      <c r="A131" s="10" t="n">
        <v>130</v>
      </c>
      <c r="B131" s="10" t="inlineStr">
        <is>
          <t>TC-IDN-API-019</t>
        </is>
      </c>
      <c r="C131" s="10" t="inlineStr">
        <is>
          <t>Identity</t>
        </is>
      </c>
      <c r="D131" s="10" t="inlineStr">
        <is>
          <t>API — Backend — API &amp; Integration</t>
        </is>
      </c>
      <c r="E131" s="10" t="inlineStr">
        <is>
          <t>Đổi mật khẩu thành công</t>
        </is>
      </c>
      <c r="F131" s="10" t="inlineStr">
        <is>
          <t>Đăng nhập</t>
        </is>
      </c>
      <c r="G131" s="10" t="inlineStr">
        <is>
          <t>`PUT /me/password`</t>
        </is>
      </c>
      <c r="H131" s="10" t="inlineStr">
        <is>
          <t>`{current, new: "MatKhauMoi2026abc"}`</t>
        </is>
      </c>
      <c r="I131" s="10" t="inlineStr">
        <is>
          <t>204; mọi refresh token bị thu hồi; login bằng mật khẩu mới thành công</t>
        </is>
      </c>
      <c r="J131" s="10" t="inlineStr">
        <is>
          <t>Functional</t>
        </is>
      </c>
      <c r="K131" s="10" t="inlineStr">
        <is>
          <t>P1 - Cao</t>
        </is>
      </c>
      <c r="L131" s="10" t="inlineStr">
        <is>
          <t>FR-IDN-008</t>
        </is>
      </c>
      <c r="M131" s="11" t="inlineStr">
        <is>
          <t>Chưa chạy</t>
        </is>
      </c>
      <c r="N131" s="11" t="inlineStr"/>
      <c r="O131" s="11" t="inlineStr"/>
      <c r="P131" s="11" t="inlineStr"/>
    </row>
    <row r="132">
      <c r="A132" s="10" t="n">
        <v>131</v>
      </c>
      <c r="B132" s="10" t="inlineStr">
        <is>
          <t>TC-IDN-API-020</t>
        </is>
      </c>
      <c r="C132" s="10" t="inlineStr">
        <is>
          <t>Identity</t>
        </is>
      </c>
      <c r="D132" s="10" t="inlineStr">
        <is>
          <t>API — Backend — API &amp; Integration</t>
        </is>
      </c>
      <c r="E132" s="10" t="inlineStr">
        <is>
          <t>Sai mật khẩu hiện tại</t>
        </is>
      </c>
      <c r="F132" s="10" t="inlineStr">
        <is>
          <t>Đăng nhập</t>
        </is>
      </c>
      <c r="G132" s="10" t="inlineStr">
        <is>
          <t>`PUT /me/password`</t>
        </is>
      </c>
      <c r="H132" s="10" t="inlineStr">
        <is>
          <t>current sai</t>
        </is>
      </c>
      <c r="I132" s="10" t="inlineStr">
        <is>
          <t>401, mật khẩu không đổi</t>
        </is>
      </c>
      <c r="J132" s="10" t="inlineStr">
        <is>
          <t>Security</t>
        </is>
      </c>
      <c r="K132" s="10" t="inlineStr">
        <is>
          <t>P1 - Cao</t>
        </is>
      </c>
      <c r="L132" s="10" t="inlineStr">
        <is>
          <t>UC-IDN-03/E1</t>
        </is>
      </c>
      <c r="M132" s="11" t="inlineStr">
        <is>
          <t>Chưa chạy</t>
        </is>
      </c>
      <c r="N132" s="11" t="inlineStr"/>
      <c r="O132" s="11" t="inlineStr"/>
      <c r="P132" s="11" t="inlineStr"/>
    </row>
    <row r="133">
      <c r="A133" s="10" t="n">
        <v>132</v>
      </c>
      <c r="B133" s="10" t="inlineStr">
        <is>
          <t>TC-IDN-API-021</t>
        </is>
      </c>
      <c r="C133" s="10" t="inlineStr">
        <is>
          <t>Identity</t>
        </is>
      </c>
      <c r="D133" s="10" t="inlineStr">
        <is>
          <t>API — Backend — API &amp; Integration</t>
        </is>
      </c>
      <c r="E133" s="10" t="inlineStr">
        <is>
          <t>Mật khẩu mới quá ngắn</t>
        </is>
      </c>
      <c r="F133" s="10" t="inlineStr">
        <is>
          <t>Đăng nhập</t>
        </is>
      </c>
      <c r="G133" s="10" t="inlineStr">
        <is>
          <t>`PUT /me/password`</t>
        </is>
      </c>
      <c r="H133" s="10" t="inlineStr">
        <is>
          <t>new: `abc123`</t>
        </is>
      </c>
      <c r="I133" s="10" t="inlineStr">
        <is>
          <t>400, `errors.newPassword` = “Mật khẩu tối thiểu 12 ký tự, gồm chữ và số”</t>
        </is>
      </c>
      <c r="J133" s="10" t="inlineStr">
        <is>
          <t>Validation</t>
        </is>
      </c>
      <c r="K133" s="10" t="inlineStr">
        <is>
          <t>P1 - Cao</t>
        </is>
      </c>
      <c r="L133" s="10" t="inlineStr">
        <is>
          <t>FR-IDN-008</t>
        </is>
      </c>
      <c r="M133" s="11" t="inlineStr">
        <is>
          <t>Chưa chạy</t>
        </is>
      </c>
      <c r="N133" s="11" t="inlineStr"/>
      <c r="O133" s="11" t="inlineStr"/>
      <c r="P133" s="11" t="inlineStr"/>
    </row>
    <row r="134">
      <c r="A134" s="10" t="n">
        <v>133</v>
      </c>
      <c r="B134" s="10" t="inlineStr">
        <is>
          <t>TC-IDN-API-022</t>
        </is>
      </c>
      <c r="C134" s="10" t="inlineStr">
        <is>
          <t>Identity</t>
        </is>
      </c>
      <c r="D134" s="10" t="inlineStr">
        <is>
          <t>API — Backend — API &amp; Integration</t>
        </is>
      </c>
      <c r="E134" s="10" t="inlineStr">
        <is>
          <t>Mật khẩu mới trùng mật khẩu cũ</t>
        </is>
      </c>
      <c r="F134" s="10" t="inlineStr">
        <is>
          <t>Đăng nhập</t>
        </is>
      </c>
      <c r="G134" s="10" t="inlineStr">
        <is>
          <t>`PUT /me/password`</t>
        </is>
      </c>
      <c r="H134" s="10" t="inlineStr">
        <is>
          <t>new = current</t>
        </is>
      </c>
      <c r="I134" s="10" t="inlineStr">
        <is>
          <t>400 với thông báo riêng</t>
        </is>
      </c>
      <c r="J134" s="10" t="inlineStr">
        <is>
          <t>Validation</t>
        </is>
      </c>
      <c r="K134" s="10" t="inlineStr">
        <is>
          <t>P2 - Trung bình</t>
        </is>
      </c>
      <c r="L134" s="10" t="inlineStr">
        <is>
          <t>BR-IDN-007</t>
        </is>
      </c>
      <c r="M134" s="11" t="inlineStr">
        <is>
          <t>Chưa chạy</t>
        </is>
      </c>
      <c r="N134" s="11" t="inlineStr"/>
      <c r="O134" s="11" t="inlineStr"/>
      <c r="P134" s="11" t="inlineStr"/>
    </row>
    <row r="135">
      <c r="A135" s="10" t="n">
        <v>134</v>
      </c>
      <c r="B135" s="10" t="inlineStr">
        <is>
          <t>TC-IDN-API-023</t>
        </is>
      </c>
      <c r="C135" s="10" t="inlineStr">
        <is>
          <t>Identity</t>
        </is>
      </c>
      <c r="D135" s="10" t="inlineStr">
        <is>
          <t>API — Backend — API &amp; Integration</t>
        </is>
      </c>
      <c r="E135" s="10" t="inlineStr">
        <is>
          <t>Mật khẩu nằm trong danh sách yếu</t>
        </is>
      </c>
      <c r="F135" s="10" t="inlineStr">
        <is>
          <t>Đăng nhập</t>
        </is>
      </c>
      <c r="G135" s="10" t="inlineStr">
        <is>
          <t>`PUT /me/password`</t>
        </is>
      </c>
      <c r="H135" s="10" t="inlineStr">
        <is>
          <t>`Password123456`</t>
        </is>
      </c>
      <c r="I135" s="10" t="inlineStr">
        <is>
          <t>400</t>
        </is>
      </c>
      <c r="J135" s="10" t="inlineStr">
        <is>
          <t>Security</t>
        </is>
      </c>
      <c r="K135" s="10" t="inlineStr">
        <is>
          <t>P2 - Trung bình</t>
        </is>
      </c>
      <c r="L135" s="10" t="inlineStr">
        <is>
          <t>BR-IDN-007</t>
        </is>
      </c>
      <c r="M135" s="11" t="inlineStr">
        <is>
          <t>Chưa chạy</t>
        </is>
      </c>
      <c r="N135" s="11" t="inlineStr"/>
      <c r="O135" s="11" t="inlineStr"/>
      <c r="P135" s="11" t="inlineStr"/>
    </row>
    <row r="136">
      <c r="A136" s="10" t="n">
        <v>135</v>
      </c>
      <c r="B136" s="10" t="inlineStr">
        <is>
          <t>TC-IDN-API-024</t>
        </is>
      </c>
      <c r="C136" s="10" t="inlineStr">
        <is>
          <t>Identity</t>
        </is>
      </c>
      <c r="D136" s="10" t="inlineStr">
        <is>
          <t>API — Backend — API &amp; Integration</t>
        </is>
      </c>
      <c r="E136" s="10" t="inlineStr">
        <is>
          <t>Băm mật khẩu là Argon2id</t>
        </is>
      </c>
      <c r="F136" s="10" t="inlineStr">
        <is>
          <t>Đã tạo người dùng</t>
        </is>
      </c>
      <c r="G136" s="10" t="inlineStr">
        <is>
          <t>Đọc DB</t>
        </is>
      </c>
      <c r="H136" s="10" t="inlineStr">
        <is>
          <t>—</t>
        </is>
      </c>
      <c r="I136" s="10" t="inlineStr">
        <is>
          <t>`PasswordHash` bắt đầu `$argon2id$`, khác nhau cho hai người dùng cùng mật khẩu (salt riêng)</t>
        </is>
      </c>
      <c r="J136" s="10" t="inlineStr">
        <is>
          <t>Security</t>
        </is>
      </c>
      <c r="K136" s="10" t="inlineStr">
        <is>
          <t>P1 - Cao</t>
        </is>
      </c>
      <c r="L136" s="10" t="inlineStr">
        <is>
          <t>NFR-SEC-004</t>
        </is>
      </c>
      <c r="M136" s="11" t="inlineStr">
        <is>
          <t>Chưa chạy</t>
        </is>
      </c>
      <c r="N136" s="11" t="inlineStr"/>
      <c r="O136" s="11" t="inlineStr"/>
      <c r="P136" s="11" t="inlineStr"/>
    </row>
    <row r="137">
      <c r="A137" s="10" t="n">
        <v>136</v>
      </c>
      <c r="B137" s="10" t="inlineStr">
        <is>
          <t>TC-IDN-API-025</t>
        </is>
      </c>
      <c r="C137" s="10" t="inlineStr">
        <is>
          <t>Identity</t>
        </is>
      </c>
      <c r="D137" s="10" t="inlineStr">
        <is>
          <t>API — Backend — API &amp; Integration</t>
        </is>
      </c>
      <c r="E137" s="10" t="inlineStr">
        <is>
          <t>ADMIN tạo người dùng</t>
        </is>
      </c>
      <c r="F137" s="10" t="inlineStr">
        <is>
          <t>Đăng nhập ADMIN</t>
        </is>
      </c>
      <c r="G137" s="10" t="inlineStr">
        <is>
          <t>`POST /users`</t>
        </is>
      </c>
      <c r="H137" s="10" t="inlineStr">
        <is>
          <t>`{"username":"opr2","fullName":"Trần B","email":"b@example.com","role":"OPERATOR"}`</t>
        </is>
      </c>
      <c r="I137" s="10" t="inlineStr">
        <is>
          <t>201; trả mật khẩu tạm một lần; `mustChangePassword=true`; audit `USER_CREATED`</t>
        </is>
      </c>
      <c r="J137" s="10" t="inlineStr">
        <is>
          <t>Functional</t>
        </is>
      </c>
      <c r="K137" s="10" t="inlineStr">
        <is>
          <t>P1 - Cao</t>
        </is>
      </c>
      <c r="L137" s="10" t="inlineStr">
        <is>
          <t>FR-IDN-006</t>
        </is>
      </c>
      <c r="M137" s="11" t="inlineStr">
        <is>
          <t>Chưa chạy</t>
        </is>
      </c>
      <c r="N137" s="11" t="inlineStr"/>
      <c r="O137" s="11" t="inlineStr"/>
      <c r="P137" s="11" t="inlineStr"/>
    </row>
    <row r="138">
      <c r="A138" s="10" t="n">
        <v>137</v>
      </c>
      <c r="B138" s="10" t="inlineStr">
        <is>
          <t>TC-IDN-API-026</t>
        </is>
      </c>
      <c r="C138" s="10" t="inlineStr">
        <is>
          <t>Identity</t>
        </is>
      </c>
      <c r="D138" s="10" t="inlineStr">
        <is>
          <t>API — Backend — API &amp; Integration</t>
        </is>
      </c>
      <c r="E138" s="10" t="inlineStr">
        <is>
          <t>Trùng username</t>
        </is>
      </c>
      <c r="F138" s="10" t="inlineStr">
        <is>
          <t>`opr2` đã tồn tại</t>
        </is>
      </c>
      <c r="G138" s="10" t="inlineStr">
        <is>
          <t>`POST /users`</t>
        </is>
      </c>
      <c r="H138" s="10" t="inlineStr">
        <is>
          <t>cùng username</t>
        </is>
      </c>
      <c r="I138" s="10" t="inlineStr">
        <is>
          <t>409 `SOE-IDN-409`</t>
        </is>
      </c>
      <c r="J138" s="10" t="inlineStr">
        <is>
          <t>Validation</t>
        </is>
      </c>
      <c r="K138" s="10" t="inlineStr">
        <is>
          <t>P1 - Cao</t>
        </is>
      </c>
      <c r="L138" s="10" t="inlineStr">
        <is>
          <t>UC-IDN-04/E1</t>
        </is>
      </c>
      <c r="M138" s="11" t="inlineStr">
        <is>
          <t>Chưa chạy</t>
        </is>
      </c>
      <c r="N138" s="11" t="inlineStr"/>
      <c r="O138" s="11" t="inlineStr"/>
      <c r="P138" s="11" t="inlineStr"/>
    </row>
    <row r="139">
      <c r="A139" s="10" t="n">
        <v>138</v>
      </c>
      <c r="B139" s="10" t="inlineStr">
        <is>
          <t>TC-IDN-API-027</t>
        </is>
      </c>
      <c r="C139" s="10" t="inlineStr">
        <is>
          <t>Identity</t>
        </is>
      </c>
      <c r="D139" s="10" t="inlineStr">
        <is>
          <t>API — Backend — API &amp; Integration</t>
        </is>
      </c>
      <c r="E139" s="10" t="inlineStr">
        <is>
          <t>Trùng email</t>
        </is>
      </c>
      <c r="F139" s="10" t="inlineStr">
        <is>
          <t>—</t>
        </is>
      </c>
      <c r="G139" s="10" t="inlineStr">
        <is>
          <t>`POST /users`</t>
        </is>
      </c>
      <c r="H139" s="10" t="inlineStr">
        <is>
          <t>email đã dùng</t>
        </is>
      </c>
      <c r="I139" s="10" t="inlineStr">
        <is>
          <t>409</t>
        </is>
      </c>
      <c r="J139" s="10" t="inlineStr">
        <is>
          <t>Validation</t>
        </is>
      </c>
      <c r="K139" s="10" t="inlineStr">
        <is>
          <t>P2 - Trung bình</t>
        </is>
      </c>
      <c r="L139" s="10" t="inlineStr">
        <is>
          <t>FR-IDN-006</t>
        </is>
      </c>
      <c r="M139" s="11" t="inlineStr">
        <is>
          <t>Chưa chạy</t>
        </is>
      </c>
      <c r="N139" s="11" t="inlineStr"/>
      <c r="O139" s="11" t="inlineStr"/>
      <c r="P139" s="11" t="inlineStr"/>
    </row>
    <row r="140">
      <c r="A140" s="10" t="n">
        <v>139</v>
      </c>
      <c r="B140" s="10" t="inlineStr">
        <is>
          <t>TC-IDN-API-028</t>
        </is>
      </c>
      <c r="C140" s="10" t="inlineStr">
        <is>
          <t>Identity</t>
        </is>
      </c>
      <c r="D140" s="10" t="inlineStr">
        <is>
          <t>API — Backend — API &amp; Integration</t>
        </is>
      </c>
      <c r="E140" s="10" t="inlineStr">
        <is>
          <t>Username sai định dạng</t>
        </is>
      </c>
      <c r="F140" s="10" t="inlineStr">
        <is>
          <t>—</t>
        </is>
      </c>
      <c r="G140" s="10" t="inlineStr">
        <is>
          <t>`POST /users`</t>
        </is>
      </c>
      <c r="H140" s="10" t="inlineStr">
        <is>
          <t>`"Admin User!"`</t>
        </is>
      </c>
      <c r="I140" s="10" t="inlineStr">
        <is>
          <t>400, `errors.username`</t>
        </is>
      </c>
      <c r="J140" s="10" t="inlineStr">
        <is>
          <t>Validation</t>
        </is>
      </c>
      <c r="K140" s="10" t="inlineStr">
        <is>
          <t>P1 - Cao</t>
        </is>
      </c>
      <c r="L140" s="10" t="inlineStr">
        <is>
          <t>SRS §6</t>
        </is>
      </c>
      <c r="M140" s="11" t="inlineStr">
        <is>
          <t>Chưa chạy</t>
        </is>
      </c>
      <c r="N140" s="11" t="inlineStr"/>
      <c r="O140" s="11" t="inlineStr"/>
      <c r="P140" s="11" t="inlineStr"/>
    </row>
    <row r="141">
      <c r="A141" s="10" t="n">
        <v>140</v>
      </c>
      <c r="B141" s="10" t="inlineStr">
        <is>
          <t>TC-IDN-API-029</t>
        </is>
      </c>
      <c r="C141" s="10" t="inlineStr">
        <is>
          <t>Identity</t>
        </is>
      </c>
      <c r="D141" s="10" t="inlineStr">
        <is>
          <t>API — Backend — API &amp; Integration</t>
        </is>
      </c>
      <c r="E141" s="10" t="inlineStr">
        <is>
          <t>Đổi vai trò</t>
        </is>
      </c>
      <c r="F141" s="10" t="inlineStr">
        <is>
          <t>Có `opr2`</t>
        </is>
      </c>
      <c r="G141" s="10" t="inlineStr">
        <is>
          <t>`PUT /users/{id}` role → VIEWER</t>
        </is>
      </c>
      <c r="H141" s="10" t="inlineStr">
        <is>
          <t>—</t>
        </is>
      </c>
      <c r="I141" s="10" t="inlineStr">
        <is>
          <t>200; audit `USER_ROLE_CHANGED`; token hiện tại của `opr2` mất quyền OPERATOR sau refresh</t>
        </is>
      </c>
      <c r="J141" s="10" t="inlineStr">
        <is>
          <t>Functional</t>
        </is>
      </c>
      <c r="K141" s="10" t="inlineStr">
        <is>
          <t>P1 - Cao</t>
        </is>
      </c>
      <c r="L141" s="10" t="inlineStr">
        <is>
          <t>FR-IDN-007</t>
        </is>
      </c>
      <c r="M141" s="11" t="inlineStr">
        <is>
          <t>Chưa chạy</t>
        </is>
      </c>
      <c r="N141" s="11" t="inlineStr"/>
      <c r="O141" s="11" t="inlineStr"/>
      <c r="P141" s="11" t="inlineStr"/>
    </row>
    <row r="142">
      <c r="A142" s="10" t="n">
        <v>141</v>
      </c>
      <c r="B142" s="10" t="inlineStr">
        <is>
          <t>TC-IDN-API-030</t>
        </is>
      </c>
      <c r="C142" s="10" t="inlineStr">
        <is>
          <t>Identity</t>
        </is>
      </c>
      <c r="D142" s="10" t="inlineStr">
        <is>
          <t>API — Backend — API &amp; Integration</t>
        </is>
      </c>
      <c r="E142" s="10" t="inlineStr">
        <is>
          <t>Vô hiệu hóa người dùng</t>
        </is>
      </c>
      <c r="F142" s="10" t="inlineStr">
        <is>
          <t>`opr2` đang đăng nhập</t>
        </is>
      </c>
      <c r="G142" s="10" t="inlineStr">
        <is>
          <t>`PUT /users/{id}/status` `{isActive:false}`</t>
        </is>
      </c>
      <c r="H142" s="10" t="inlineStr">
        <is>
          <t>—</t>
        </is>
      </c>
      <c r="I142" s="10" t="inlineStr">
        <is>
          <t>200; refresh của `opr2` trả 401; access token cũ hết tác dụng ≤ 15 phút</t>
        </is>
      </c>
      <c r="J142" s="10" t="inlineStr">
        <is>
          <t>Security</t>
        </is>
      </c>
      <c r="K142" s="10" t="inlineStr">
        <is>
          <t>P1 - Cao</t>
        </is>
      </c>
      <c r="L142" s="10" t="inlineStr">
        <is>
          <t>BR-IDN-006</t>
        </is>
      </c>
      <c r="M142" s="11" t="inlineStr">
        <is>
          <t>Chưa chạy</t>
        </is>
      </c>
      <c r="N142" s="11" t="inlineStr"/>
      <c r="O142" s="11" t="inlineStr"/>
      <c r="P142" s="11" t="inlineStr"/>
    </row>
    <row r="143">
      <c r="A143" s="10" t="n">
        <v>142</v>
      </c>
      <c r="B143" s="10" t="inlineStr">
        <is>
          <t>TC-IDN-API-031</t>
        </is>
      </c>
      <c r="C143" s="10" t="inlineStr">
        <is>
          <t>Identity</t>
        </is>
      </c>
      <c r="D143" s="10" t="inlineStr">
        <is>
          <t>API — Backend — API &amp; Integration</t>
        </is>
      </c>
      <c r="E143" s="10" t="inlineStr">
        <is>
          <t>Chặn vô hiệu hóa ADMIN cuối cùng</t>
        </is>
      </c>
      <c r="F143" s="10" t="inlineStr">
        <is>
          <t>Chỉ còn 1 ADMIN hoạt động</t>
        </is>
      </c>
      <c r="G143" s="10" t="inlineStr">
        <is>
          <t>`PUT /users/{admin}/status` false</t>
        </is>
      </c>
      <c r="H143" s="10" t="inlineStr">
        <is>
          <t>—</t>
        </is>
      </c>
      <c r="I143" s="10" t="inlineStr">
        <is>
          <t>422 `SOE-IDN-422`</t>
        </is>
      </c>
      <c r="J143" s="10" t="inlineStr">
        <is>
          <t>Functional</t>
        </is>
      </c>
      <c r="K143" s="10" t="inlineStr">
        <is>
          <t>P1 - Cao</t>
        </is>
      </c>
      <c r="L143" s="10" t="inlineStr">
        <is>
          <t>FR-IDN-015</t>
        </is>
      </c>
      <c r="M143" s="11" t="inlineStr">
        <is>
          <t>Chưa chạy</t>
        </is>
      </c>
      <c r="N143" s="11" t="inlineStr"/>
      <c r="O143" s="11" t="inlineStr"/>
      <c r="P143" s="11" t="inlineStr"/>
    </row>
    <row r="144">
      <c r="A144" s="10" t="n">
        <v>143</v>
      </c>
      <c r="B144" s="10" t="inlineStr">
        <is>
          <t>TC-IDN-API-032</t>
        </is>
      </c>
      <c r="C144" s="10" t="inlineStr">
        <is>
          <t>Identity</t>
        </is>
      </c>
      <c r="D144" s="10" t="inlineStr">
        <is>
          <t>API — Backend — API &amp; Integration</t>
        </is>
      </c>
      <c r="E144" s="10" t="inlineStr">
        <is>
          <t>Chặn hạ quyền ADMIN cuối cùng</t>
        </is>
      </c>
      <c r="F144" s="10" t="inlineStr">
        <is>
          <t>như trên</t>
        </is>
      </c>
      <c r="G144" s="10" t="inlineStr">
        <is>
          <t>`PUT /users/{admin}` role=VIEWER</t>
        </is>
      </c>
      <c r="H144" s="10" t="inlineStr">
        <is>
          <t>—</t>
        </is>
      </c>
      <c r="I144" s="10" t="inlineStr">
        <is>
          <t>422</t>
        </is>
      </c>
      <c r="J144" s="10" t="inlineStr">
        <is>
          <t>Functional</t>
        </is>
      </c>
      <c r="K144" s="10" t="inlineStr">
        <is>
          <t>P1 - Cao</t>
        </is>
      </c>
      <c r="L144" s="10" t="inlineStr">
        <is>
          <t>FR-IDN-015</t>
        </is>
      </c>
      <c r="M144" s="11" t="inlineStr">
        <is>
          <t>Chưa chạy</t>
        </is>
      </c>
      <c r="N144" s="11" t="inlineStr"/>
      <c r="O144" s="11" t="inlineStr"/>
      <c r="P144" s="11" t="inlineStr"/>
    </row>
    <row r="145">
      <c r="A145" s="10" t="n">
        <v>144</v>
      </c>
      <c r="B145" s="10" t="inlineStr">
        <is>
          <t>TC-IDN-API-033</t>
        </is>
      </c>
      <c r="C145" s="10" t="inlineStr">
        <is>
          <t>Identity</t>
        </is>
      </c>
      <c r="D145" s="10" t="inlineStr">
        <is>
          <t>API — Backend — API &amp; Integration</t>
        </is>
      </c>
      <c r="E145" s="10" t="inlineStr">
        <is>
          <t>Đặt lại mật khẩu</t>
        </is>
      </c>
      <c r="F145" s="10" t="inlineStr">
        <is>
          <t>ADMIN</t>
        </is>
      </c>
      <c r="G145" s="10" t="inlineStr">
        <is>
          <t>`POST /users/{id}/reset-password`</t>
        </is>
      </c>
      <c r="H145" s="10" t="inlineStr">
        <is>
          <t>—</t>
        </is>
      </c>
      <c r="I145" s="10" t="inlineStr">
        <is>
          <t>200 với mật khẩu tạm; người dùng phải đổi khi đăng nhập; audit ghi nhận</t>
        </is>
      </c>
      <c r="J145" s="10" t="inlineStr">
        <is>
          <t>Functional</t>
        </is>
      </c>
      <c r="K145" s="10" t="inlineStr">
        <is>
          <t>P2 - Trung bình</t>
        </is>
      </c>
      <c r="L145" s="10" t="inlineStr">
        <is>
          <t>FR-IDN-007</t>
        </is>
      </c>
      <c r="M145" s="11" t="inlineStr">
        <is>
          <t>Chưa chạy</t>
        </is>
      </c>
      <c r="N145" s="11" t="inlineStr"/>
      <c r="O145" s="11" t="inlineStr"/>
      <c r="P145" s="11" t="inlineStr"/>
    </row>
    <row r="146">
      <c r="A146" s="10" t="n">
        <v>145</v>
      </c>
      <c r="B146" s="10" t="inlineStr">
        <is>
          <t>TC-IDN-API-034</t>
        </is>
      </c>
      <c r="C146" s="10" t="inlineStr">
        <is>
          <t>Identity</t>
        </is>
      </c>
      <c r="D146" s="10" t="inlineStr">
        <is>
          <t>API — Backend — API &amp; Integration</t>
        </is>
      </c>
      <c r="E146" s="10" t="inlineStr">
        <is>
          <t>Thu hồi mọi phiên</t>
        </is>
      </c>
      <c r="F146" s="10" t="inlineStr">
        <is>
          <t>`opr2` đang đăng nhập 2 thiết bị</t>
        </is>
      </c>
      <c r="G146" s="10" t="inlineStr">
        <is>
          <t>`POST /users/{id}/revoke-sessions`</t>
        </is>
      </c>
      <c r="H146" s="10" t="inlineStr">
        <is>
          <t>—</t>
        </is>
      </c>
      <c r="I146" s="10" t="inlineStr">
        <is>
          <t>204; cả hai thiết bị phải đăng nhập lại</t>
        </is>
      </c>
      <c r="J146" s="10" t="inlineStr">
        <is>
          <t>Security</t>
        </is>
      </c>
      <c r="K146" s="10" t="inlineStr">
        <is>
          <t>P2 - Trung bình</t>
        </is>
      </c>
      <c r="L146" s="10" t="inlineStr">
        <is>
          <t>FR-IDN-014</t>
        </is>
      </c>
      <c r="M146" s="11" t="inlineStr">
        <is>
          <t>Chưa chạy</t>
        </is>
      </c>
      <c r="N146" s="11" t="inlineStr"/>
      <c r="O146" s="11" t="inlineStr"/>
      <c r="P146" s="11" t="inlineStr"/>
    </row>
    <row r="147">
      <c r="A147" s="10" t="n">
        <v>146</v>
      </c>
      <c r="B147" s="10" t="inlineStr">
        <is>
          <t>TC-IDN-API-035</t>
        </is>
      </c>
      <c r="C147" s="10" t="inlineStr">
        <is>
          <t>Identity</t>
        </is>
      </c>
      <c r="D147" s="10" t="inlineStr">
        <is>
          <t>API — Backend — API &amp; Integration</t>
        </is>
      </c>
      <c r="E147" s="10" t="inlineStr">
        <is>
          <t>Danh sách người dùng có lọc</t>
        </is>
      </c>
      <c r="F147" s="10" t="inlineStr">
        <is>
          <t>Có ≥ 5 người dùng</t>
        </is>
      </c>
      <c r="G147" s="10" t="inlineStr">
        <is>
          <t>`GET /users?role=OPERATOR&amp;page=1&amp;pageSize=2`</t>
        </is>
      </c>
      <c r="H147" s="10" t="inlineStr">
        <is>
          <t>—</t>
        </is>
      </c>
      <c r="I147" s="10" t="inlineStr">
        <is>
          <t>200; đúng phân trang; response không chứa `passwordHash`</t>
        </is>
      </c>
      <c r="J147" s="10" t="inlineStr">
        <is>
          <t>Functional</t>
        </is>
      </c>
      <c r="K147" s="10" t="inlineStr">
        <is>
          <t>P2 - Trung bình</t>
        </is>
      </c>
      <c r="L147" s="10" t="inlineStr">
        <is>
          <t>FR-IDN-013</t>
        </is>
      </c>
      <c r="M147" s="11" t="inlineStr">
        <is>
          <t>Chưa chạy</t>
        </is>
      </c>
      <c r="N147" s="11" t="inlineStr"/>
      <c r="O147" s="11" t="inlineStr"/>
      <c r="P147" s="11" t="inlineStr"/>
    </row>
    <row r="148">
      <c r="A148" s="10" t="n">
        <v>147</v>
      </c>
      <c r="B148" s="10" t="inlineStr">
        <is>
          <t>TC-IDN-API-036</t>
        </is>
      </c>
      <c r="C148" s="10" t="inlineStr">
        <is>
          <t>Identity</t>
        </is>
      </c>
      <c r="D148" s="10" t="inlineStr">
        <is>
          <t>API — Backend — API &amp; Integration</t>
        </is>
      </c>
      <c r="E148" s="10" t="inlineStr">
        <is>
          <t>OPERATOR gọi API quản trị người dùng</t>
        </is>
      </c>
      <c r="F148" s="10" t="inlineStr">
        <is>
          <t>Đăng nhập OPERATOR</t>
        </is>
      </c>
      <c r="G148" s="10" t="inlineStr">
        <is>
          <t>`GET /users`</t>
        </is>
      </c>
      <c r="H148" s="10" t="inlineStr">
        <is>
          <t>—</t>
        </is>
      </c>
      <c r="I148" s="10" t="inlineStr">
        <is>
          <t>403</t>
        </is>
      </c>
      <c r="J148" s="10" t="inlineStr">
        <is>
          <t>Security</t>
        </is>
      </c>
      <c r="K148" s="10" t="inlineStr">
        <is>
          <t>P1 - Cao</t>
        </is>
      </c>
      <c r="L148" s="10" t="inlineStr">
        <is>
          <t>NFR-SEC-008</t>
        </is>
      </c>
      <c r="M148" s="11" t="inlineStr">
        <is>
          <t>Chưa chạy</t>
        </is>
      </c>
      <c r="N148" s="11" t="inlineStr"/>
      <c r="O148" s="11" t="inlineStr"/>
      <c r="P148" s="11" t="inlineStr"/>
    </row>
    <row r="149">
      <c r="A149" s="10" t="n">
        <v>148</v>
      </c>
      <c r="B149" s="10" t="inlineStr">
        <is>
          <t>TC-IDN-INT-001</t>
        </is>
      </c>
      <c r="C149" s="10" t="inlineStr">
        <is>
          <t>Identity</t>
        </is>
      </c>
      <c r="D149" s="10" t="inlineStr">
        <is>
          <t>Integration — Backend — API &amp; Integration</t>
        </is>
      </c>
      <c r="E149" s="10" t="inlineStr">
        <is>
          <t>Phát event khi đăng nhập</t>
        </is>
      </c>
      <c r="F149" s="10" t="inlineStr">
        <is>
          <t>Bus test harness</t>
        </is>
      </c>
      <c r="G149" s="10" t="inlineStr">
        <is>
          <t>Đăng nhập thành công</t>
        </is>
      </c>
      <c r="H149" s="10" t="inlineStr">
        <is>
          <t>—</t>
        </is>
      </c>
      <c r="I149" s="10" t="inlineStr">
        <is>
          <t>`UserLoggedInV1` được publish đúng một lần, có `correlationId`</t>
        </is>
      </c>
      <c r="J149" s="10" t="inlineStr">
        <is>
          <t>Integration</t>
        </is>
      </c>
      <c r="K149" s="10" t="inlineStr">
        <is>
          <t>P2 - Trung bình</t>
        </is>
      </c>
      <c r="L149" s="10" t="inlineStr">
        <is>
          <t>FR-IDN-012</t>
        </is>
      </c>
      <c r="M149" s="11" t="inlineStr">
        <is>
          <t>Chưa chạy</t>
        </is>
      </c>
      <c r="N149" s="11" t="inlineStr"/>
      <c r="O149" s="11" t="inlineStr"/>
      <c r="P149" s="11" t="inlineStr"/>
    </row>
    <row r="150">
      <c r="A150" s="10" t="n">
        <v>149</v>
      </c>
      <c r="B150" s="10" t="inlineStr">
        <is>
          <t>TC-IDN-INT-002</t>
        </is>
      </c>
      <c r="C150" s="10" t="inlineStr">
        <is>
          <t>Identity</t>
        </is>
      </c>
      <c r="D150" s="10" t="inlineStr">
        <is>
          <t>Integration — Backend — API &amp; Integration</t>
        </is>
      </c>
      <c r="E150" s="10" t="inlineStr">
        <is>
          <t>Event khi đăng nhập thất bại</t>
        </is>
      </c>
      <c r="F150" s="10" t="inlineStr">
        <is>
          <t>—</t>
        </is>
      </c>
      <c r="G150" s="10" t="inlineStr">
        <is>
          <t>Sai mật khẩu 1 lần</t>
        </is>
      </c>
      <c r="H150" s="10" t="inlineStr">
        <is>
          <t>—</t>
        </is>
      </c>
      <c r="I150" s="10" t="inlineStr">
        <is>
          <t>`UserLoginFailedV1` có `reason`, IP dạng băm</t>
        </is>
      </c>
      <c r="J150" s="10" t="inlineStr">
        <is>
          <t>Integration</t>
        </is>
      </c>
      <c r="K150" s="10" t="inlineStr">
        <is>
          <t>P2 - Trung bình</t>
        </is>
      </c>
      <c r="L150" s="10" t="inlineStr">
        <is>
          <t>FR-IDN-012</t>
        </is>
      </c>
      <c r="M150" s="11" t="inlineStr">
        <is>
          <t>Chưa chạy</t>
        </is>
      </c>
      <c r="N150" s="11" t="inlineStr"/>
      <c r="O150" s="11" t="inlineStr"/>
      <c r="P150" s="11" t="inlineStr"/>
    </row>
    <row r="151">
      <c r="A151" s="10" t="n">
        <v>150</v>
      </c>
      <c r="B151" s="10" t="inlineStr">
        <is>
          <t>TC-IDN-INT-003</t>
        </is>
      </c>
      <c r="C151" s="10" t="inlineStr">
        <is>
          <t>Identity</t>
        </is>
      </c>
      <c r="D151" s="10" t="inlineStr">
        <is>
          <t>Integration — Backend — API &amp; Integration</t>
        </is>
      </c>
      <c r="E151" s="10" t="inlineStr">
        <is>
          <t>Audit ghi đủ hành động người dùng</t>
        </is>
      </c>
      <c r="F151" s="10" t="inlineStr">
        <is>
          <t>Audit chạy</t>
        </is>
      </c>
      <c r="G151" s="10" t="inlineStr">
        <is>
          <t>Tạo + sửa + vô hiệu hóa người dùng</t>
        </is>
      </c>
      <c r="H151" s="10" t="inlineStr">
        <is>
          <t>—</t>
        </is>
      </c>
      <c r="I151" s="10" t="inlineStr">
        <is>
          <t>3 bản ghi audit đúng `Action`, có diff, mật khẩu hiển thị `*`</t>
        </is>
      </c>
      <c r="J151" s="10" t="inlineStr">
        <is>
          <t>Integration</t>
        </is>
      </c>
      <c r="K151" s="10" t="inlineStr">
        <is>
          <t>P1 - Cao</t>
        </is>
      </c>
      <c r="L151" s="10" t="inlineStr">
        <is>
          <t>FR-AUD-001</t>
        </is>
      </c>
      <c r="M151" s="11" t="inlineStr">
        <is>
          <t>Chưa chạy</t>
        </is>
      </c>
      <c r="N151" s="11" t="inlineStr"/>
      <c r="O151" s="11" t="inlineStr"/>
      <c r="P151" s="11" t="inlineStr"/>
    </row>
    <row r="152">
      <c r="A152" s="10" t="n">
        <v>151</v>
      </c>
      <c r="B152" s="10" t="inlineStr">
        <is>
          <t>TC-IDN-E2E-001</t>
        </is>
      </c>
      <c r="C152" s="10" t="inlineStr">
        <is>
          <t>Identity</t>
        </is>
      </c>
      <c r="D152" s="10" t="inlineStr">
        <is>
          <t>E2E (UI) — Frontend</t>
        </is>
      </c>
      <c r="E152" s="10" t="inlineStr">
        <is>
          <t>Đăng nhập qua giao diện</t>
        </is>
      </c>
      <c r="F152" s="10" t="inlineStr">
        <is>
          <t>Ứng dụng chạy</t>
        </is>
      </c>
      <c r="G152" s="10" t="inlineStr">
        <is>
          <t>Nhập tài khoản đúng, bấm Đăng nhập</t>
        </is>
      </c>
      <c r="H152" s="10" t="inlineStr">
        <is>
          <t>`admin`</t>
        </is>
      </c>
      <c r="I152" s="10" t="inlineStr">
        <is>
          <t>Điều hướng tới `/app/dashboard`; header hiện tên và vai trò</t>
        </is>
      </c>
      <c r="J152" s="10" t="inlineStr">
        <is>
          <t>Functional</t>
        </is>
      </c>
      <c r="K152" s="10" t="inlineStr">
        <is>
          <t>P1 - Cao</t>
        </is>
      </c>
      <c r="L152" s="10" t="inlineStr">
        <is>
          <t>FR-IDN-FE-001</t>
        </is>
      </c>
      <c r="M152" s="11" t="inlineStr">
        <is>
          <t>Chưa chạy</t>
        </is>
      </c>
      <c r="N152" s="11" t="inlineStr"/>
      <c r="O152" s="11" t="inlineStr"/>
      <c r="P152" s="11" t="inlineStr"/>
    </row>
    <row r="153">
      <c r="A153" s="10" t="n">
        <v>152</v>
      </c>
      <c r="B153" s="10" t="inlineStr">
        <is>
          <t>TC-IDN-E2E-002</t>
        </is>
      </c>
      <c r="C153" s="10" t="inlineStr">
        <is>
          <t>Identity</t>
        </is>
      </c>
      <c r="D153" s="10" t="inlineStr">
        <is>
          <t>E2E (UI) — Frontend</t>
        </is>
      </c>
      <c r="E153" s="10" t="inlineStr">
        <is>
          <t>Validate form đăng nhập</t>
        </is>
      </c>
      <c r="F153" s="10" t="inlineStr">
        <is>
          <t>Ở trang Login</t>
        </is>
      </c>
      <c r="G153" s="10" t="inlineStr">
        <is>
          <t>Bấm Đăng nhập khi bỏ trống</t>
        </is>
      </c>
      <c r="H153" s="10" t="inlineStr">
        <is>
          <t>—</t>
        </is>
      </c>
      <c r="I153" s="10" t="inlineStr">
        <is>
          <t>Hai ô báo lỗi tiếng Việt; không gửi request nào</t>
        </is>
      </c>
      <c r="J153" s="10" t="inlineStr">
        <is>
          <t>Validation</t>
        </is>
      </c>
      <c r="K153" s="10" t="inlineStr">
        <is>
          <t>P1 - Cao</t>
        </is>
      </c>
      <c r="L153" s="10" t="inlineStr">
        <is>
          <t>FR-IDN-FE-001</t>
        </is>
      </c>
      <c r="M153" s="11" t="inlineStr">
        <is>
          <t>Chưa chạy</t>
        </is>
      </c>
      <c r="N153" s="11" t="inlineStr"/>
      <c r="O153" s="11" t="inlineStr"/>
      <c r="P153" s="11" t="inlineStr"/>
    </row>
    <row r="154">
      <c r="A154" s="10" t="n">
        <v>153</v>
      </c>
      <c r="B154" s="10" t="inlineStr">
        <is>
          <t>TC-IDN-E2E-003</t>
        </is>
      </c>
      <c r="C154" s="10" t="inlineStr">
        <is>
          <t>Identity</t>
        </is>
      </c>
      <c r="D154" s="10" t="inlineStr">
        <is>
          <t>E2E (UI) — Frontend</t>
        </is>
      </c>
      <c r="E154" s="10" t="inlineStr">
        <is>
          <t>Token không nằm trong localStorage</t>
        </is>
      </c>
      <c r="F154" s="10" t="inlineStr">
        <is>
          <t>Đã đăng nhập</t>
        </is>
      </c>
      <c r="G154" s="10" t="inlineStr">
        <is>
          <t>Kiểm tra `localStorage`/`sessionStorage`</t>
        </is>
      </c>
      <c r="H154" s="10" t="inlineStr">
        <is>
          <t>—</t>
        </is>
      </c>
      <c r="I154" s="10" t="inlineStr">
        <is>
          <t>Không có khóa nào chứa access token; cookie `soe_rt` không đọc được bằng `document.cookie`</t>
        </is>
      </c>
      <c r="J154" s="10" t="inlineStr">
        <is>
          <t>Security</t>
        </is>
      </c>
      <c r="K154" s="10" t="inlineStr">
        <is>
          <t>P1 - Cao</t>
        </is>
      </c>
      <c r="L154" s="10" t="inlineStr">
        <is>
          <t>FR-IDN-FE-002, NFR-SEC-005</t>
        </is>
      </c>
      <c r="M154" s="11" t="inlineStr">
        <is>
          <t>Chưa chạy</t>
        </is>
      </c>
      <c r="N154" s="11" t="inlineStr"/>
      <c r="O154" s="11" t="inlineStr"/>
      <c r="P154" s="11" t="inlineStr"/>
    </row>
    <row r="155">
      <c r="A155" s="10" t="n">
        <v>154</v>
      </c>
      <c r="B155" s="10" t="inlineStr">
        <is>
          <t>TC-IDN-E2E-004</t>
        </is>
      </c>
      <c r="C155" s="10" t="inlineStr">
        <is>
          <t>Identity</t>
        </is>
      </c>
      <c r="D155" s="10" t="inlineStr">
        <is>
          <t>E2E (UI) — Frontend</t>
        </is>
      </c>
      <c r="E155" s="10" t="inlineStr">
        <is>
          <t>Khôi phục phiên khi tải lại trang</t>
        </is>
      </c>
      <c r="F155" s="10" t="inlineStr">
        <is>
          <t>Đã đăng nhập</t>
        </is>
      </c>
      <c r="G155" s="10" t="inlineStr">
        <is>
          <t>F5</t>
        </is>
      </c>
      <c r="H155" s="10" t="inlineStr">
        <is>
          <t>—</t>
        </is>
      </c>
      <c r="I155" s="10" t="inlineStr">
        <is>
          <t>Vẫn ở trạng thái đăng nhập nhờ `/auth/refresh`; không quay về Login</t>
        </is>
      </c>
      <c r="J155" s="10" t="inlineStr">
        <is>
          <t>Functional</t>
        </is>
      </c>
      <c r="K155" s="10" t="inlineStr">
        <is>
          <t>P1 - Cao</t>
        </is>
      </c>
      <c r="L155" s="10" t="inlineStr">
        <is>
          <t>FR-IDN-FE-002</t>
        </is>
      </c>
      <c r="M155" s="11" t="inlineStr">
        <is>
          <t>Chưa chạy</t>
        </is>
      </c>
      <c r="N155" s="11" t="inlineStr"/>
      <c r="O155" s="11" t="inlineStr"/>
      <c r="P155" s="11" t="inlineStr"/>
    </row>
    <row r="156">
      <c r="A156" s="10" t="n">
        <v>155</v>
      </c>
      <c r="B156" s="10" t="inlineStr">
        <is>
          <t>TC-IDN-E2E-005</t>
        </is>
      </c>
      <c r="C156" s="10" t="inlineStr">
        <is>
          <t>Identity</t>
        </is>
      </c>
      <c r="D156" s="10" t="inlineStr">
        <is>
          <t>E2E (UI) — Frontend</t>
        </is>
      </c>
      <c r="E156" s="10" t="inlineStr">
        <is>
          <t>Tự refresh khi access token hết hạn</t>
        </is>
      </c>
      <c r="F156" s="10" t="inlineStr">
        <is>
          <t>Giả lập token hết hạn</t>
        </is>
      </c>
      <c r="G156" s="10" t="inlineStr">
        <is>
          <t>Thao tác bất kỳ gọi API</t>
        </is>
      </c>
      <c r="H156" s="10" t="inlineStr">
        <is>
          <t>—</t>
        </is>
      </c>
      <c r="I156" s="10" t="inlineStr">
        <is>
          <t>Một request refresh duy nhất (single-flight); thao tác hoàn tất, người dùng không thấy gián đoạn</t>
        </is>
      </c>
      <c r="J156" s="10" t="inlineStr">
        <is>
          <t>Integration</t>
        </is>
      </c>
      <c r="K156" s="10" t="inlineStr">
        <is>
          <t>P1 - Cao</t>
        </is>
      </c>
      <c r="L156" s="10" t="inlineStr">
        <is>
          <t>FR-IDN-FE-003</t>
        </is>
      </c>
      <c r="M156" s="11" t="inlineStr">
        <is>
          <t>Chưa chạy</t>
        </is>
      </c>
      <c r="N156" s="11" t="inlineStr"/>
      <c r="O156" s="11" t="inlineStr"/>
      <c r="P156" s="11" t="inlineStr"/>
    </row>
    <row r="157">
      <c r="A157" s="10" t="n">
        <v>156</v>
      </c>
      <c r="B157" s="10" t="inlineStr">
        <is>
          <t>TC-IDN-E2E-006</t>
        </is>
      </c>
      <c r="C157" s="10" t="inlineStr">
        <is>
          <t>Identity</t>
        </is>
      </c>
      <c r="D157" s="10" t="inlineStr">
        <is>
          <t>E2E (UI) — Frontend</t>
        </is>
      </c>
      <c r="E157" s="10" t="inlineStr">
        <is>
          <t>Đếm ngược khi bị khóa</t>
        </is>
      </c>
      <c r="F157" s="10" t="inlineStr">
        <is>
          <t>Tài khoản bị khóa</t>
        </is>
      </c>
      <c r="G157" s="10" t="inlineStr">
        <is>
          <t>Đăng nhập</t>
        </is>
      </c>
      <c r="H157" s="10" t="inlineStr">
        <is>
          <t>—</t>
        </is>
      </c>
      <c r="I157" s="10" t="inlineStr">
        <is>
          <t>Hiện “Thử lại sau mm:ss” và nút bị vô hiệu hóa</t>
        </is>
      </c>
      <c r="J157" s="10" t="inlineStr">
        <is>
          <t>UI/UX</t>
        </is>
      </c>
      <c r="K157" s="10" t="inlineStr">
        <is>
          <t>P2 - Trung bình</t>
        </is>
      </c>
      <c r="L157" s="10" t="inlineStr">
        <is>
          <t>FR-IDN-FE-004</t>
        </is>
      </c>
      <c r="M157" s="11" t="inlineStr">
        <is>
          <t>Chưa chạy</t>
        </is>
      </c>
      <c r="N157" s="11" t="inlineStr"/>
      <c r="O157" s="11" t="inlineStr"/>
      <c r="P157" s="11" t="inlineStr"/>
    </row>
    <row r="158">
      <c r="A158" s="10" t="n">
        <v>157</v>
      </c>
      <c r="B158" s="10" t="inlineStr">
        <is>
          <t>TC-IDN-E2E-007</t>
        </is>
      </c>
      <c r="C158" s="10" t="inlineStr">
        <is>
          <t>Identity</t>
        </is>
      </c>
      <c r="D158" s="10" t="inlineStr">
        <is>
          <t>E2E (UI) — Frontend</t>
        </is>
      </c>
      <c r="E158" s="10" t="inlineStr">
        <is>
          <t>Bắt buộc đổi mật khẩu</t>
        </is>
      </c>
      <c r="F158" s="10" t="inlineStr">
        <is>
          <t>`mustChangePassword=true`</t>
        </is>
      </c>
      <c r="G158" s="10" t="inlineStr">
        <is>
          <t>Đăng nhập</t>
        </is>
      </c>
      <c r="H158" s="10" t="inlineStr">
        <is>
          <t>—</t>
        </is>
      </c>
      <c r="I158" s="10" t="inlineStr">
        <is>
          <t>Hộp thoại đổi mật khẩu mở, không thể đóng/điều hướng sang trang khác</t>
        </is>
      </c>
      <c r="J158" s="10" t="inlineStr">
        <is>
          <t>Functional</t>
        </is>
      </c>
      <c r="K158" s="10" t="inlineStr">
        <is>
          <t>P1 - Cao</t>
        </is>
      </c>
      <c r="L158" s="10" t="inlineStr">
        <is>
          <t>FR-IDN-FE-005</t>
        </is>
      </c>
      <c r="M158" s="11" t="inlineStr">
        <is>
          <t>Chưa chạy</t>
        </is>
      </c>
      <c r="N158" s="11" t="inlineStr"/>
      <c r="O158" s="11" t="inlineStr"/>
      <c r="P158" s="11" t="inlineStr"/>
    </row>
    <row r="159">
      <c r="A159" s="10" t="n">
        <v>158</v>
      </c>
      <c r="B159" s="10" t="inlineStr">
        <is>
          <t>TC-IDN-E2E-008</t>
        </is>
      </c>
      <c r="C159" s="10" t="inlineStr">
        <is>
          <t>Identity</t>
        </is>
      </c>
      <c r="D159" s="10" t="inlineStr">
        <is>
          <t>E2E (UI) — Frontend</t>
        </is>
      </c>
      <c r="E159" s="10" t="inlineStr">
        <is>
          <t>Menu theo vai trò</t>
        </is>
      </c>
      <c r="F159" s="10" t="inlineStr">
        <is>
          <t>Đăng nhập VIEWER</t>
        </is>
      </c>
      <c r="G159" s="10" t="inlineStr">
        <is>
          <t>Xem sidebar</t>
        </is>
      </c>
      <c r="H159" s="10" t="inlineStr">
        <is>
          <t>—</t>
        </is>
      </c>
      <c r="I159" s="10" t="inlineStr">
        <is>
          <t>Không có mục Người dùng, Kênh cảnh báo, Nhật ký, Cấu hình</t>
        </is>
      </c>
      <c r="J159" s="10" t="inlineStr">
        <is>
          <t>UI/UX</t>
        </is>
      </c>
      <c r="K159" s="10" t="inlineStr">
        <is>
          <t>P1 - Cao</t>
        </is>
      </c>
      <c r="L159" s="10" t="inlineStr">
        <is>
          <t>FR-IDN-FE-006</t>
        </is>
      </c>
      <c r="M159" s="11" t="inlineStr">
        <is>
          <t>Chưa chạy</t>
        </is>
      </c>
      <c r="N159" s="11" t="inlineStr"/>
      <c r="O159" s="11" t="inlineStr"/>
      <c r="P159" s="11" t="inlineStr"/>
    </row>
    <row r="160">
      <c r="A160" s="10" t="n">
        <v>159</v>
      </c>
      <c r="B160" s="10" t="inlineStr">
        <is>
          <t>TC-IDN-E2E-009</t>
        </is>
      </c>
      <c r="C160" s="10" t="inlineStr">
        <is>
          <t>Identity</t>
        </is>
      </c>
      <c r="D160" s="10" t="inlineStr">
        <is>
          <t>E2E (UI) — Frontend</t>
        </is>
      </c>
      <c r="E160" s="10" t="inlineStr">
        <is>
          <t>Truy cập URL bị cấm</t>
        </is>
      </c>
      <c r="F160" s="10" t="inlineStr">
        <is>
          <t>Đăng nhập VIEWER</t>
        </is>
      </c>
      <c r="G160" s="10" t="inlineStr">
        <is>
          <t>Mở `/app/users`</t>
        </is>
      </c>
      <c r="H160" s="10" t="inlineStr">
        <is>
          <t>—</t>
        </is>
      </c>
      <c r="I160" s="10" t="inlineStr">
        <is>
          <t>Chuyển hướng/thông báo không có quyền; API trả 403</t>
        </is>
      </c>
      <c r="J160" s="10" t="inlineStr">
        <is>
          <t>Security</t>
        </is>
      </c>
      <c r="K160" s="10" t="inlineStr">
        <is>
          <t>P1 - Cao</t>
        </is>
      </c>
      <c r="L160" s="10" t="inlineStr">
        <is>
          <t>FR-IDN-FE-006</t>
        </is>
      </c>
      <c r="M160" s="11" t="inlineStr">
        <is>
          <t>Chưa chạy</t>
        </is>
      </c>
      <c r="N160" s="11" t="inlineStr"/>
      <c r="O160" s="11" t="inlineStr"/>
      <c r="P160" s="11" t="inlineStr"/>
    </row>
    <row r="161">
      <c r="A161" s="10" t="n">
        <v>160</v>
      </c>
      <c r="B161" s="10" t="inlineStr">
        <is>
          <t>TC-IDN-E2E-010</t>
        </is>
      </c>
      <c r="C161" s="10" t="inlineStr">
        <is>
          <t>Identity</t>
        </is>
      </c>
      <c r="D161" s="10" t="inlineStr">
        <is>
          <t>E2E (UI) — Frontend</t>
        </is>
      </c>
      <c r="E161" s="10" t="inlineStr">
        <is>
          <t>Tự đăng xuất khi không thao tác</t>
        </is>
      </c>
      <c r="F161" s="10" t="inlineStr">
        <is>
          <t>Đăng nhập, chờ 30 phút (giả lập)</t>
        </is>
      </c>
      <c r="G161" s="10" t="inlineStr">
        <is>
          <t>—</t>
        </is>
      </c>
      <c r="H161" s="10" t="inlineStr">
        <is>
          <t>—</t>
        </is>
      </c>
      <c r="I161" s="10" t="inlineStr">
        <is>
          <t>Tự đăng xuất, hiện thông báo, cache React Query bị xóa</t>
        </is>
      </c>
      <c r="J161" s="10" t="inlineStr">
        <is>
          <t>Security</t>
        </is>
      </c>
      <c r="K161" s="10" t="inlineStr">
        <is>
          <t>P2 - Trung bình</t>
        </is>
      </c>
      <c r="L161" s="10" t="inlineStr">
        <is>
          <t>FR-IDN-FE-007</t>
        </is>
      </c>
      <c r="M161" s="11" t="inlineStr">
        <is>
          <t>Chưa chạy</t>
        </is>
      </c>
      <c r="N161" s="11" t="inlineStr"/>
      <c r="O161" s="11" t="inlineStr"/>
      <c r="P161" s="11" t="inlineStr"/>
    </row>
    <row r="162">
      <c r="A162" s="10" t="n">
        <v>161</v>
      </c>
      <c r="B162" s="10" t="inlineStr">
        <is>
          <t>TC-IDN-E2E-011</t>
        </is>
      </c>
      <c r="C162" s="10" t="inlineStr">
        <is>
          <t>Identity</t>
        </is>
      </c>
      <c r="D162" s="10" t="inlineStr">
        <is>
          <t>E2E (UI) — Frontend</t>
        </is>
      </c>
      <c r="E162" s="10" t="inlineStr">
        <is>
          <t>Quản lý người dùng</t>
        </is>
      </c>
      <c r="F162" s="10" t="inlineStr">
        <is>
          <t>Đăng nhập ADMIN</t>
        </is>
      </c>
      <c r="G162" s="10" t="inlineStr">
        <is>
          <t>Tạo → sửa → vô hiệu hóa người dùng</t>
        </is>
      </c>
      <c r="H162" s="10" t="inlineStr">
        <is>
          <t>—</t>
        </is>
      </c>
      <c r="I162" s="10" t="inlineStr">
        <is>
          <t>Bảng cập nhật đúng; toast; mật khẩu tạm hiển thị một lần kèm nút sao chép</t>
        </is>
      </c>
      <c r="J162" s="10" t="inlineStr">
        <is>
          <t>Functional</t>
        </is>
      </c>
      <c r="K162" s="10" t="inlineStr">
        <is>
          <t>P1 - Cao</t>
        </is>
      </c>
      <c r="L162" s="10" t="inlineStr">
        <is>
          <t>FR-IDN-FE-008</t>
        </is>
      </c>
      <c r="M162" s="11" t="inlineStr">
        <is>
          <t>Chưa chạy</t>
        </is>
      </c>
      <c r="N162" s="11" t="inlineStr"/>
      <c r="O162" s="11" t="inlineStr"/>
      <c r="P162" s="11" t="inlineStr"/>
    </row>
    <row r="163">
      <c r="A163" s="10" t="n">
        <v>162</v>
      </c>
      <c r="B163" s="10" t="inlineStr">
        <is>
          <t>TC-IDN-E2E-012</t>
        </is>
      </c>
      <c r="C163" s="10" t="inlineStr">
        <is>
          <t>Identity</t>
        </is>
      </c>
      <c r="D163" s="10" t="inlineStr">
        <is>
          <t>E2E (UI) — Frontend</t>
        </is>
      </c>
      <c r="E163" s="10" t="inlineStr">
        <is>
          <t>Chặn vô hiệu hóa ADMIN cuối cùng (UI)</t>
        </is>
      </c>
      <c r="F163" s="10" t="inlineStr">
        <is>
          <t>Chỉ còn 1 ADMIN</t>
        </is>
      </c>
      <c r="G163" s="10" t="inlineStr">
        <is>
          <t>Thử vô hiệu hóa</t>
        </is>
      </c>
      <c r="H163" s="10" t="inlineStr">
        <is>
          <t>—</t>
        </is>
      </c>
      <c r="I163" s="10" t="inlineStr">
        <is>
          <t>Thông báo rõ ràng, trạng thái không đổi</t>
        </is>
      </c>
      <c r="J163" s="10" t="inlineStr">
        <is>
          <t>UI/UX</t>
        </is>
      </c>
      <c r="K163" s="10" t="inlineStr">
        <is>
          <t>P2 - Trung bình</t>
        </is>
      </c>
      <c r="L163" s="10" t="inlineStr">
        <is>
          <t>FR-IDN-015</t>
        </is>
      </c>
      <c r="M163" s="11" t="inlineStr">
        <is>
          <t>Chưa chạy</t>
        </is>
      </c>
      <c r="N163" s="11" t="inlineStr"/>
      <c r="O163" s="11" t="inlineStr"/>
      <c r="P163" s="11" t="inlineStr"/>
    </row>
    <row r="164">
      <c r="A164" s="10" t="n">
        <v>163</v>
      </c>
      <c r="B164" s="10" t="inlineStr">
        <is>
          <t>TC-INV-API-001</t>
        </is>
      </c>
      <c r="C164" s="10" t="inlineStr">
        <is>
          <t>Inventory</t>
        </is>
      </c>
      <c r="D164" s="10" t="inlineStr">
        <is>
          <t>API — Backend — API, bảo mật &amp; CSDL</t>
        </is>
      </c>
      <c r="E164" s="10" t="inlineStr">
        <is>
          <t>Tạo node bằng mật khẩu</t>
        </is>
      </c>
      <c r="F164" s="10" t="inlineStr">
        <is>
          <t>ADMIN đăng nhập</t>
        </is>
      </c>
      <c r="G164" s="10" t="inlineStr">
        <is>
          <t>`POST /api/v1/nodes`</t>
        </is>
      </c>
      <c r="H164" s="10" t="inlineStr">
        <is>
          <t>`{"name":"prod-app-02","host":"192.168.1.15","port":22,"username":"deploy","authType":"PASSWORD","password":"secret123"}`</t>
        </is>
      </c>
      <c r="I164" s="10" t="inlineStr">
        <is>
          <t>201 + `Location`; response không có `password`/`sshKey`; có `hasCredential=true`</t>
        </is>
      </c>
      <c r="J164" s="10" t="inlineStr">
        <is>
          <t>Functional</t>
        </is>
      </c>
      <c r="K164" s="10" t="inlineStr">
        <is>
          <t>P1 - Cao</t>
        </is>
      </c>
      <c r="L164" s="10" t="inlineStr">
        <is>
          <t>FR-INV-001, 004</t>
        </is>
      </c>
      <c r="M164" s="11" t="inlineStr">
        <is>
          <t>Chưa chạy</t>
        </is>
      </c>
      <c r="N164" s="11" t="inlineStr"/>
      <c r="O164" s="11" t="inlineStr"/>
      <c r="P164" s="11" t="inlineStr"/>
    </row>
    <row r="165">
      <c r="A165" s="10" t="n">
        <v>164</v>
      </c>
      <c r="B165" s="10" t="inlineStr">
        <is>
          <t>TC-INV-API-002</t>
        </is>
      </c>
      <c r="C165" s="10" t="inlineStr">
        <is>
          <t>Inventory</t>
        </is>
      </c>
      <c r="D165" s="10" t="inlineStr">
        <is>
          <t>API — Backend — API, bảo mật &amp; CSDL</t>
        </is>
      </c>
      <c r="E165" s="10" t="inlineStr">
        <is>
          <t>Credential được mã hóa AES-GCM</t>
        </is>
      </c>
      <c r="F165" s="10" t="inlineStr">
        <is>
          <t>TC-001 vừa chạy</t>
        </is>
      </c>
      <c r="G165" s="10" t="inlineStr">
        <is>
          <t>Truy vấn bảng `NodeCredentials`</t>
        </is>
      </c>
      <c r="H165" s="10" t="inlineStr">
        <is>
          <t>—</t>
        </is>
      </c>
      <c r="I165" s="10" t="inlineStr">
        <is>
          <t>`SecretCipher` là nhị phân, có `KeyId`, không chứa chuỗi `secret123`; hai node cùng mật khẩu có ciphertext khác nhau (nonce ngẫu nhiên)</t>
        </is>
      </c>
      <c r="J165" s="10" t="inlineStr">
        <is>
          <t>Security</t>
        </is>
      </c>
      <c r="K165" s="10" t="inlineStr">
        <is>
          <t>P1 - Cao</t>
        </is>
      </c>
      <c r="L165" s="10" t="inlineStr">
        <is>
          <t>FR-INV-003, NFR-SEC-003</t>
        </is>
      </c>
      <c r="M165" s="11" t="inlineStr">
        <is>
          <t>Chưa chạy</t>
        </is>
      </c>
      <c r="N165" s="11" t="inlineStr"/>
      <c r="O165" s="11" t="inlineStr"/>
      <c r="P165" s="11" t="inlineStr"/>
    </row>
    <row r="166">
      <c r="A166" s="10" t="n">
        <v>165</v>
      </c>
      <c r="B166" s="10" t="inlineStr">
        <is>
          <t>TC-INV-API-003</t>
        </is>
      </c>
      <c r="C166" s="10" t="inlineStr">
        <is>
          <t>Inventory</t>
        </is>
      </c>
      <c r="D166" s="10" t="inlineStr">
        <is>
          <t>API — Backend — API, bảo mật &amp; CSDL</t>
        </is>
      </c>
      <c r="E166" s="10" t="inlineStr">
        <is>
          <t>Không double-encrypt</t>
        </is>
      </c>
      <c r="F166" s="10" t="inlineStr">
        <is>
          <t>Node vừa tạo</t>
        </is>
      </c>
      <c r="G166" s="10" t="inlineStr">
        <is>
          <t>Chạy `test-connection`</t>
        </is>
      </c>
      <c r="H166" s="10" t="inlineStr">
        <is>
          <t>—</t>
        </is>
      </c>
      <c r="I166" s="10" t="inlineStr">
        <is>
          <t>Kết nối thành công ⇒ credential giải mã ra đúng plaintext (lỗi v1 không tái diễn)</t>
        </is>
      </c>
      <c r="J166" s="10" t="inlineStr">
        <is>
          <t>Regression</t>
        </is>
      </c>
      <c r="K166" s="10" t="inlineStr">
        <is>
          <t>P1 - Cao</t>
        </is>
      </c>
      <c r="L166" s="10" t="inlineStr">
        <is>
          <t>FR-INV-003</t>
        </is>
      </c>
      <c r="M166" s="11" t="inlineStr">
        <is>
          <t>Chưa chạy</t>
        </is>
      </c>
      <c r="N166" s="11" t="inlineStr"/>
      <c r="O166" s="11" t="inlineStr"/>
      <c r="P166" s="11" t="inlineStr"/>
    </row>
    <row r="167">
      <c r="A167" s="10" t="n">
        <v>166</v>
      </c>
      <c r="B167" s="10" t="inlineStr">
        <is>
          <t>TC-INV-API-004</t>
        </is>
      </c>
      <c r="C167" s="10" t="inlineStr">
        <is>
          <t>Inventory</t>
        </is>
      </c>
      <c r="D167" s="10" t="inlineStr">
        <is>
          <t>API — Backend — API, bảo mật &amp; CSDL</t>
        </is>
      </c>
      <c r="E167" s="10" t="inlineStr">
        <is>
          <t>Tạo node bằng SSH key</t>
        </is>
      </c>
      <c r="F167" s="10" t="inlineStr">
        <is>
          <t>ADMIN</t>
        </is>
      </c>
      <c r="G167" s="10" t="inlineStr">
        <is>
          <t>`POST /nodes` với `authType=SSH_KEY`</t>
        </is>
      </c>
      <c r="H167" s="10" t="inlineStr">
        <is>
          <t>private key hợp lệ</t>
        </is>
      </c>
      <c r="I167" s="10" t="inlineStr">
        <is>
          <t>201; key được mã hóa; response không chứa key</t>
        </is>
      </c>
      <c r="J167" s="10" t="inlineStr">
        <is>
          <t>Functional</t>
        </is>
      </c>
      <c r="K167" s="10" t="inlineStr">
        <is>
          <t>P1 - Cao</t>
        </is>
      </c>
      <c r="L167" s="10" t="inlineStr">
        <is>
          <t>FR-INV-001</t>
        </is>
      </c>
      <c r="M167" s="11" t="inlineStr">
        <is>
          <t>Chưa chạy</t>
        </is>
      </c>
      <c r="N167" s="11" t="inlineStr"/>
      <c r="O167" s="11" t="inlineStr"/>
      <c r="P167" s="11" t="inlineStr"/>
    </row>
    <row r="168">
      <c r="A168" s="10" t="n">
        <v>167</v>
      </c>
      <c r="B168" s="10" t="inlineStr">
        <is>
          <t>TC-INV-API-005</t>
        </is>
      </c>
      <c r="C168" s="10" t="inlineStr">
        <is>
          <t>Inventory</t>
        </is>
      </c>
      <c r="D168" s="10" t="inlineStr">
        <is>
          <t>API — Backend — API, bảo mật &amp; CSDL</t>
        </is>
      </c>
      <c r="E168" s="10" t="inlineStr">
        <is>
          <t>Trùng host:port</t>
        </is>
      </c>
      <c r="F168" s="10" t="inlineStr">
        <is>
          <t>Đã có node `192.168.1.10:22`</t>
        </is>
      </c>
      <c r="G168" s="10" t="inlineStr">
        <is>
          <t>`POST /nodes` cùng host+port</t>
        </is>
      </c>
      <c r="H168" s="10" t="inlineStr">
        <is>
          <t>—</t>
        </is>
      </c>
      <c r="I168" s="10" t="inlineStr">
        <is>
          <t>409 `SOE-INV-409`, thông báo “Đã có node sử dụng 192.168.1.10:22.”</t>
        </is>
      </c>
      <c r="J168" s="10" t="inlineStr">
        <is>
          <t>Validation</t>
        </is>
      </c>
      <c r="K168" s="10" t="inlineStr">
        <is>
          <t>P1 - Cao</t>
        </is>
      </c>
      <c r="L168" s="10" t="inlineStr">
        <is>
          <t>FR-INV-002</t>
        </is>
      </c>
      <c r="M168" s="11" t="inlineStr">
        <is>
          <t>Chưa chạy</t>
        </is>
      </c>
      <c r="N168" s="11" t="inlineStr"/>
      <c r="O168" s="11" t="inlineStr"/>
      <c r="P168" s="11" t="inlineStr"/>
    </row>
    <row r="169">
      <c r="A169" s="10" t="n">
        <v>168</v>
      </c>
      <c r="B169" s="10" t="inlineStr">
        <is>
          <t>TC-INV-API-006</t>
        </is>
      </c>
      <c r="C169" s="10" t="inlineStr">
        <is>
          <t>Inventory</t>
        </is>
      </c>
      <c r="D169" s="10" t="inlineStr">
        <is>
          <t>API — Backend — API, bảo mật &amp; CSDL</t>
        </is>
      </c>
      <c r="E169" s="10" t="inlineStr">
        <is>
          <t>Cùng host khác port</t>
        </is>
      </c>
      <c r="F169" s="10" t="inlineStr">
        <is>
          <t>Đã có `192.168.1.10:22`</t>
        </is>
      </c>
      <c r="G169" s="10" t="inlineStr">
        <is>
          <t>`POST /nodes` port 2222</t>
        </is>
      </c>
      <c r="H169" s="10" t="inlineStr">
        <is>
          <t>—</t>
        </is>
      </c>
      <c r="I169" s="10" t="inlineStr">
        <is>
          <t>201 (hợp lệ)</t>
        </is>
      </c>
      <c r="J169" s="10" t="inlineStr">
        <is>
          <t>Functional</t>
        </is>
      </c>
      <c r="K169" s="10" t="inlineStr">
        <is>
          <t>P2 - Trung bình</t>
        </is>
      </c>
      <c r="L169" s="10" t="inlineStr">
        <is>
          <t>BR-INV-002</t>
        </is>
      </c>
      <c r="M169" s="11" t="inlineStr">
        <is>
          <t>Chưa chạy</t>
        </is>
      </c>
      <c r="N169" s="11" t="inlineStr"/>
      <c r="O169" s="11" t="inlineStr"/>
      <c r="P169" s="11" t="inlineStr"/>
    </row>
    <row r="170">
      <c r="A170" s="10" t="n">
        <v>169</v>
      </c>
      <c r="B170" s="10" t="inlineStr">
        <is>
          <t>TC-INV-API-007</t>
        </is>
      </c>
      <c r="C170" s="10" t="inlineStr">
        <is>
          <t>Inventory</t>
        </is>
      </c>
      <c r="D170" s="10" t="inlineStr">
        <is>
          <t>API — Backend — API, bảo mật &amp; CSDL</t>
        </is>
      </c>
      <c r="E170" s="10" t="inlineStr">
        <is>
          <t>Trùng tên node</t>
        </is>
      </c>
      <c r="F170" s="10" t="inlineStr">
        <is>
          <t>Đã có `prod-web-01`</t>
        </is>
      </c>
      <c r="G170" s="10" t="inlineStr">
        <is>
          <t>`POST /nodes` cùng tên</t>
        </is>
      </c>
      <c r="H170" s="10" t="inlineStr">
        <is>
          <t>—</t>
        </is>
      </c>
      <c r="I170" s="10" t="inlineStr">
        <is>
          <t>409 `SOE-INV-410`</t>
        </is>
      </c>
      <c r="J170" s="10" t="inlineStr">
        <is>
          <t>Validation</t>
        </is>
      </c>
      <c r="K170" s="10" t="inlineStr">
        <is>
          <t>P2 - Trung bình</t>
        </is>
      </c>
      <c r="L170" s="10" t="inlineStr">
        <is>
          <t>BR-INV-002</t>
        </is>
      </c>
      <c r="M170" s="11" t="inlineStr">
        <is>
          <t>Chưa chạy</t>
        </is>
      </c>
      <c r="N170" s="11" t="inlineStr"/>
      <c r="O170" s="11" t="inlineStr"/>
      <c r="P170" s="11" t="inlineStr"/>
    </row>
    <row r="171">
      <c r="A171" s="10" t="n">
        <v>170</v>
      </c>
      <c r="B171" s="10" t="inlineStr">
        <is>
          <t>TC-INV-API-008</t>
        </is>
      </c>
      <c r="C171" s="10" t="inlineStr">
        <is>
          <t>Inventory</t>
        </is>
      </c>
      <c r="D171" s="10" t="inlineStr">
        <is>
          <t>API — Backend — API, bảo mật &amp; CSDL</t>
        </is>
      </c>
      <c r="E171" s="10" t="inlineStr">
        <is>
          <t>Thiếu trường bắt buộc</t>
        </is>
      </c>
      <c r="F171" s="10" t="inlineStr">
        <is>
          <t>—</t>
        </is>
      </c>
      <c r="G171" s="10" t="inlineStr">
        <is>
          <t>`POST /nodes` thiếu `name`, `host`</t>
        </is>
      </c>
      <c r="H171" s="10" t="inlineStr">
        <is>
          <t>`{"port":22}`</t>
        </is>
      </c>
      <c r="I171" s="10" t="inlineStr">
        <is>
          <t>400 với `errors.name`, `errors.host` bằng tiếng Việt</t>
        </is>
      </c>
      <c r="J171" s="10" t="inlineStr">
        <is>
          <t>Validation</t>
        </is>
      </c>
      <c r="K171" s="10" t="inlineStr">
        <is>
          <t>P1 - Cao</t>
        </is>
      </c>
      <c r="L171" s="10" t="inlineStr">
        <is>
          <t>SRS §6</t>
        </is>
      </c>
      <c r="M171" s="11" t="inlineStr">
        <is>
          <t>Chưa chạy</t>
        </is>
      </c>
      <c r="N171" s="11" t="inlineStr"/>
      <c r="O171" s="11" t="inlineStr"/>
      <c r="P171" s="11" t="inlineStr"/>
    </row>
    <row r="172">
      <c r="A172" s="10" t="n">
        <v>171</v>
      </c>
      <c r="B172" s="10" t="inlineStr">
        <is>
          <t>TC-INV-API-009</t>
        </is>
      </c>
      <c r="C172" s="10" t="inlineStr">
        <is>
          <t>Inventory</t>
        </is>
      </c>
      <c r="D172" s="10" t="inlineStr">
        <is>
          <t>API — Backend — API, bảo mật &amp; CSDL</t>
        </is>
      </c>
      <c r="E172" s="10" t="inlineStr">
        <is>
          <t>Port ngoài phạm vi</t>
        </is>
      </c>
      <c r="F172" s="10" t="inlineStr">
        <is>
          <t>—</t>
        </is>
      </c>
      <c r="G172" s="10" t="inlineStr">
        <is>
          <t>`POST /nodes`</t>
        </is>
      </c>
      <c r="H172" s="10" t="inlineStr">
        <is>
          <t>`port: 70000`</t>
        </is>
      </c>
      <c r="I172" s="10" t="inlineStr">
        <is>
          <t>400 “Port phải nằm trong khoảng 1–65535”</t>
        </is>
      </c>
      <c r="J172" s="10" t="inlineStr">
        <is>
          <t>Validation</t>
        </is>
      </c>
      <c r="K172" s="10" t="inlineStr">
        <is>
          <t>P1 - Cao</t>
        </is>
      </c>
      <c r="L172" s="10" t="inlineStr">
        <is>
          <t>SRS §6</t>
        </is>
      </c>
      <c r="M172" s="11" t="inlineStr">
        <is>
          <t>Chưa chạy</t>
        </is>
      </c>
      <c r="N172" s="11" t="inlineStr"/>
      <c r="O172" s="11" t="inlineStr"/>
      <c r="P172" s="11" t="inlineStr"/>
    </row>
    <row r="173">
      <c r="A173" s="10" t="n">
        <v>172</v>
      </c>
      <c r="B173" s="10" t="inlineStr">
        <is>
          <t>TC-INV-API-010</t>
        </is>
      </c>
      <c r="C173" s="10" t="inlineStr">
        <is>
          <t>Inventory</t>
        </is>
      </c>
      <c r="D173" s="10" t="inlineStr">
        <is>
          <t>API — Backend — API, bảo mật &amp; CSDL</t>
        </is>
      </c>
      <c r="E173" s="10" t="inlineStr">
        <is>
          <t>Host chứa ký tự shell</t>
        </is>
      </c>
      <c r="F173" s="10" t="inlineStr">
        <is>
          <t>—</t>
        </is>
      </c>
      <c r="G173" s="10" t="inlineStr">
        <is>
          <t>`POST /nodes`</t>
        </is>
      </c>
      <c r="H173" s="10" t="inlineStr">
        <is>
          <t>`host: "1.2.3.4; rm -rf /"`</t>
        </is>
      </c>
      <c r="I173" s="10" t="inlineStr">
        <is>
          <t>400; không có lệnh nào được thực thi</t>
        </is>
      </c>
      <c r="J173" s="10" t="inlineStr">
        <is>
          <t>Security</t>
        </is>
      </c>
      <c r="K173" s="10" t="inlineStr">
        <is>
          <t>P1 - Cao</t>
        </is>
      </c>
      <c r="L173" s="10" t="inlineStr">
        <is>
          <t>BR-INV-001</t>
        </is>
      </c>
      <c r="M173" s="11" t="inlineStr">
        <is>
          <t>Chưa chạy</t>
        </is>
      </c>
      <c r="N173" s="11" t="inlineStr"/>
      <c r="O173" s="11" t="inlineStr"/>
      <c r="P173" s="11" t="inlineStr"/>
    </row>
    <row r="174">
      <c r="A174" s="10" t="n">
        <v>173</v>
      </c>
      <c r="B174" s="10" t="inlineStr">
        <is>
          <t>TC-INV-API-011</t>
        </is>
      </c>
      <c r="C174" s="10" t="inlineStr">
        <is>
          <t>Inventory</t>
        </is>
      </c>
      <c r="D174" s="10" t="inlineStr">
        <is>
          <t>API — Backend — API, bảo mật &amp; CSDL</t>
        </is>
      </c>
      <c r="E174" s="10" t="inlineStr">
        <is>
          <t>Thiếu credential khi tạo</t>
        </is>
      </c>
      <c r="F174" s="10" t="inlineStr">
        <is>
          <t>—</t>
        </is>
      </c>
      <c r="G174" s="10" t="inlineStr">
        <is>
          <t>`POST /nodes` không password/sshKey</t>
        </is>
      </c>
      <c r="H174" s="10" t="inlineStr">
        <is>
          <t>—</t>
        </is>
      </c>
      <c r="I174" s="10" t="inlineStr">
        <is>
          <t>400 “Chọn Password hoặc SSH Key và nhập giá trị”</t>
        </is>
      </c>
      <c r="J174" s="10" t="inlineStr">
        <is>
          <t>Validation</t>
        </is>
      </c>
      <c r="K174" s="10" t="inlineStr">
        <is>
          <t>P1 - Cao</t>
        </is>
      </c>
      <c r="L174" s="10" t="inlineStr">
        <is>
          <t>BR-INV-003</t>
        </is>
      </c>
      <c r="M174" s="11" t="inlineStr">
        <is>
          <t>Chưa chạy</t>
        </is>
      </c>
      <c r="N174" s="11" t="inlineStr"/>
      <c r="O174" s="11" t="inlineStr"/>
      <c r="P174" s="11" t="inlineStr"/>
    </row>
    <row r="175">
      <c r="A175" s="10" t="n">
        <v>174</v>
      </c>
      <c r="B175" s="10" t="inlineStr">
        <is>
          <t>TC-INV-API-012</t>
        </is>
      </c>
      <c r="C175" s="10" t="inlineStr">
        <is>
          <t>Inventory</t>
        </is>
      </c>
      <c r="D175" s="10" t="inlineStr">
        <is>
          <t>API — Backend — API, bảo mật &amp; CSDL</t>
        </is>
      </c>
      <c r="E175" s="10" t="inlineStr">
        <is>
          <t>Trường lạ trong body</t>
        </is>
      </c>
      <c r="F175" s="10" t="inlineStr">
        <is>
          <t>—</t>
        </is>
      </c>
      <c r="G175" s="10" t="inlineStr">
        <is>
          <t>`POST /nodes` thêm `"isAdmin": true`</t>
        </is>
      </c>
      <c r="H175" s="10" t="inlineStr">
        <is>
          <t>—</t>
        </is>
      </c>
      <c r="I175" s="10" t="inlineStr">
        <is>
          <t>400 (UnmappedMemberHandling = Disallow) — chống mass assignment</t>
        </is>
      </c>
      <c r="J175" s="10" t="inlineStr">
        <is>
          <t>Security</t>
        </is>
      </c>
      <c r="K175" s="10" t="inlineStr">
        <is>
          <t>P1 - Cao</t>
        </is>
      </c>
      <c r="L175" s="10" t="inlineStr">
        <is>
          <t>OWASP API3</t>
        </is>
      </c>
      <c r="M175" s="11" t="inlineStr">
        <is>
          <t>Chưa chạy</t>
        </is>
      </c>
      <c r="N175" s="11" t="inlineStr"/>
      <c r="O175" s="11" t="inlineStr"/>
      <c r="P175" s="11" t="inlineStr"/>
    </row>
    <row r="176">
      <c r="A176" s="10" t="n">
        <v>175</v>
      </c>
      <c r="B176" s="10" t="inlineStr">
        <is>
          <t>TC-INV-API-013</t>
        </is>
      </c>
      <c r="C176" s="10" t="inlineStr">
        <is>
          <t>Inventory</t>
        </is>
      </c>
      <c r="D176" s="10" t="inlineStr">
        <is>
          <t>API — Backend — API, bảo mật &amp; CSDL</t>
        </is>
      </c>
      <c r="E176" s="10" t="inlineStr">
        <is>
          <t>Mount path không hợp lệ</t>
        </is>
      </c>
      <c r="F176" s="10" t="inlineStr">
        <is>
          <t>—</t>
        </is>
      </c>
      <c r="G176" s="10" t="inlineStr">
        <is>
          <t>`POST /nodes`</t>
        </is>
      </c>
      <c r="H176" s="10" t="inlineStr">
        <is>
          <t>`diskMountPath: "/tmp; ls"`</t>
        </is>
      </c>
      <c r="I176" s="10" t="inlineStr">
        <is>
          <t>400</t>
        </is>
      </c>
      <c r="J176" s="10" t="inlineStr">
        <is>
          <t>Security</t>
        </is>
      </c>
      <c r="K176" s="10" t="inlineStr">
        <is>
          <t>P1 - Cao</t>
        </is>
      </c>
      <c r="L176" s="10" t="inlineStr">
        <is>
          <t>BR-INV-007</t>
        </is>
      </c>
      <c r="M176" s="11" t="inlineStr">
        <is>
          <t>Chưa chạy</t>
        </is>
      </c>
      <c r="N176" s="11" t="inlineStr"/>
      <c r="O176" s="11" t="inlineStr"/>
      <c r="P176" s="11" t="inlineStr"/>
    </row>
    <row r="177">
      <c r="A177" s="10" t="n">
        <v>176</v>
      </c>
      <c r="B177" s="10" t="inlineStr">
        <is>
          <t>TC-INV-API-014</t>
        </is>
      </c>
      <c r="C177" s="10" t="inlineStr">
        <is>
          <t>Inventory</t>
        </is>
      </c>
      <c r="D177" s="10" t="inlineStr">
        <is>
          <t>API — Backend — API, bảo mật &amp; CSDL</t>
        </is>
      </c>
      <c r="E177" s="10" t="inlineStr">
        <is>
          <t>Danh sách có phân trang</t>
        </is>
      </c>
      <c r="F177" s="10" t="inlineStr">
        <is>
          <t>≥ 25 node</t>
        </is>
      </c>
      <c r="G177" s="10" t="inlineStr">
        <is>
          <t>`GET /nodes?page=2&amp;pageSize=10`</t>
        </is>
      </c>
      <c r="H177" s="10" t="inlineStr">
        <is>
          <t>—</t>
        </is>
      </c>
      <c r="I177" s="10" t="inlineStr">
        <is>
          <t>200; đúng `totalItems`, `totalPages`; không có trường credential</t>
        </is>
      </c>
      <c r="J177" s="10" t="inlineStr">
        <is>
          <t>Functional</t>
        </is>
      </c>
      <c r="K177" s="10" t="inlineStr">
        <is>
          <t>P1 - Cao</t>
        </is>
      </c>
      <c r="L177" s="10" t="inlineStr">
        <is>
          <t>FR-INV-012</t>
        </is>
      </c>
      <c r="M177" s="11" t="inlineStr">
        <is>
          <t>Chưa chạy</t>
        </is>
      </c>
      <c r="N177" s="11" t="inlineStr"/>
      <c r="O177" s="11" t="inlineStr"/>
      <c r="P177" s="11" t="inlineStr"/>
    </row>
    <row r="178">
      <c r="A178" s="10" t="n">
        <v>177</v>
      </c>
      <c r="B178" s="10" t="inlineStr">
        <is>
          <t>TC-INV-API-015</t>
        </is>
      </c>
      <c r="C178" s="10" t="inlineStr">
        <is>
          <t>Inventory</t>
        </is>
      </c>
      <c r="D178" s="10" t="inlineStr">
        <is>
          <t>API — Backend — API, bảo mật &amp; CSDL</t>
        </is>
      </c>
      <c r="E178" s="10" t="inlineStr">
        <is>
          <t>`pageSize` vượt giới hạn</t>
        </is>
      </c>
      <c r="F178" s="10" t="inlineStr">
        <is>
          <t>—</t>
        </is>
      </c>
      <c r="G178" s="10" t="inlineStr">
        <is>
          <t>`GET /nodes?pageSize=1000`</t>
        </is>
      </c>
      <c r="H178" s="10" t="inlineStr">
        <is>
          <t>—</t>
        </is>
      </c>
      <c r="I178" s="10" t="inlineStr">
        <is>
          <t>400 hoặc tự giới hạn 100 (theo hợp đồng)</t>
        </is>
      </c>
      <c r="J178" s="10" t="inlineStr">
        <is>
          <t>Security</t>
        </is>
      </c>
      <c r="K178" s="10" t="inlineStr">
        <is>
          <t>P2 - Trung bình</t>
        </is>
      </c>
      <c r="L178" s="10" t="inlineStr">
        <is>
          <t>OWASP API4</t>
        </is>
      </c>
      <c r="M178" s="11" t="inlineStr">
        <is>
          <t>Chưa chạy</t>
        </is>
      </c>
      <c r="N178" s="11" t="inlineStr"/>
      <c r="O178" s="11" t="inlineStr"/>
      <c r="P178" s="11" t="inlineStr"/>
    </row>
    <row r="179">
      <c r="A179" s="10" t="n">
        <v>178</v>
      </c>
      <c r="B179" s="10" t="inlineStr">
        <is>
          <t>TC-INV-API-016</t>
        </is>
      </c>
      <c r="C179" s="10" t="inlineStr">
        <is>
          <t>Inventory</t>
        </is>
      </c>
      <c r="D179" s="10" t="inlineStr">
        <is>
          <t>API — Backend — API, bảo mật &amp; CSDL</t>
        </is>
      </c>
      <c r="E179" s="10" t="inlineStr">
        <is>
          <t>Tìm kiếm &amp; lọc</t>
        </is>
      </c>
      <c r="F179" s="10" t="inlineStr">
        <is>
          <t>Có node tag `env=prod`</t>
        </is>
      </c>
      <c r="G179" s="10" t="inlineStr">
        <is>
          <t>`GET /nodes?search=web&amp;tag=env:prod&amp;isActive=true`</t>
        </is>
      </c>
      <c r="H179" s="10" t="inlineStr">
        <is>
          <t>—</t>
        </is>
      </c>
      <c r="I179" s="10" t="inlineStr">
        <is>
          <t>Chỉ trả node khớp mọi điều kiện</t>
        </is>
      </c>
      <c r="J179" s="10" t="inlineStr">
        <is>
          <t>Functional</t>
        </is>
      </c>
      <c r="K179" s="10" t="inlineStr">
        <is>
          <t>P2 - Trung bình</t>
        </is>
      </c>
      <c r="L179" s="10" t="inlineStr">
        <is>
          <t>FR-INV-012, 013</t>
        </is>
      </c>
      <c r="M179" s="11" t="inlineStr">
        <is>
          <t>Chưa chạy</t>
        </is>
      </c>
      <c r="N179" s="11" t="inlineStr"/>
      <c r="O179" s="11" t="inlineStr"/>
      <c r="P179" s="11" t="inlineStr"/>
    </row>
    <row r="180">
      <c r="A180" s="10" t="n">
        <v>179</v>
      </c>
      <c r="B180" s="10" t="inlineStr">
        <is>
          <t>TC-INV-API-017</t>
        </is>
      </c>
      <c r="C180" s="10" t="inlineStr">
        <is>
          <t>Inventory</t>
        </is>
      </c>
      <c r="D180" s="10" t="inlineStr">
        <is>
          <t>API — Backend — API, bảo mật &amp; CSDL</t>
        </is>
      </c>
      <c r="E180" s="10" t="inlineStr">
        <is>
          <t>Chi tiết node</t>
        </is>
      </c>
      <c r="F180" s="10" t="inlineStr">
        <is>
          <t>Node tồn tại</t>
        </is>
      </c>
      <c r="G180" s="10" t="inlineStr">
        <is>
          <t>`GET /nodes/{id}`</t>
        </is>
      </c>
      <c r="H180" s="10" t="inlineStr">
        <is>
          <t>—</t>
        </is>
      </c>
      <c r="I180" s="10" t="inlineStr">
        <is>
          <t>200, đủ thông tin, không có credential</t>
        </is>
      </c>
      <c r="J180" s="10" t="inlineStr">
        <is>
          <t>Functional</t>
        </is>
      </c>
      <c r="K180" s="10" t="inlineStr">
        <is>
          <t>P1 - Cao</t>
        </is>
      </c>
      <c r="L180" s="10" t="inlineStr">
        <is>
          <t>FR-INV-004</t>
        </is>
      </c>
      <c r="M180" s="11" t="inlineStr">
        <is>
          <t>Chưa chạy</t>
        </is>
      </c>
      <c r="N180" s="11" t="inlineStr"/>
      <c r="O180" s="11" t="inlineStr"/>
      <c r="P180" s="11" t="inlineStr"/>
    </row>
    <row r="181">
      <c r="A181" s="10" t="n">
        <v>180</v>
      </c>
      <c r="B181" s="10" t="inlineStr">
        <is>
          <t>TC-INV-API-018</t>
        </is>
      </c>
      <c r="C181" s="10" t="inlineStr">
        <is>
          <t>Inventory</t>
        </is>
      </c>
      <c r="D181" s="10" t="inlineStr">
        <is>
          <t>API — Backend — API, bảo mật &amp; CSDL</t>
        </is>
      </c>
      <c r="E181" s="10" t="inlineStr">
        <is>
          <t>Node không tồn tại</t>
        </is>
      </c>
      <c r="F181" s="10" t="inlineStr">
        <is>
          <t>—</t>
        </is>
      </c>
      <c r="G181" s="10" t="inlineStr">
        <is>
          <t>`GET /nodes/{guid-lạ}`</t>
        </is>
      </c>
      <c r="H181" s="10" t="inlineStr">
        <is>
          <t>—</t>
        </is>
      </c>
      <c r="I181" s="10" t="inlineStr">
        <is>
          <t>404 `SOE-INV-404`</t>
        </is>
      </c>
      <c r="J181" s="10" t="inlineStr">
        <is>
          <t>Functional</t>
        </is>
      </c>
      <c r="K181" s="10" t="inlineStr">
        <is>
          <t>P2 - Trung bình</t>
        </is>
      </c>
      <c r="L181" s="10" t="inlineStr">
        <is>
          <t>—</t>
        </is>
      </c>
      <c r="M181" s="11" t="inlineStr">
        <is>
          <t>Chưa chạy</t>
        </is>
      </c>
      <c r="N181" s="11" t="inlineStr"/>
      <c r="O181" s="11" t="inlineStr"/>
      <c r="P181" s="11" t="inlineStr"/>
    </row>
    <row r="182">
      <c r="A182" s="10" t="n">
        <v>181</v>
      </c>
      <c r="B182" s="10" t="inlineStr">
        <is>
          <t>TC-INV-API-019</t>
        </is>
      </c>
      <c r="C182" s="10" t="inlineStr">
        <is>
          <t>Inventory</t>
        </is>
      </c>
      <c r="D182" s="10" t="inlineStr">
        <is>
          <t>API — Backend — API, bảo mật &amp; CSDL</t>
        </is>
      </c>
      <c r="E182" s="10" t="inlineStr">
        <is>
          <t>Sửa node giữ nguyên credential</t>
        </is>
      </c>
      <c r="F182" s="10" t="inlineStr">
        <is>
          <t>Node có mật khẩu</t>
        </is>
      </c>
      <c r="G182" s="10" t="inlineStr">
        <is>
          <t>`PUT /nodes/{id}` đổi tên, không gửi password</t>
        </is>
      </c>
      <c r="H182" s="10" t="inlineStr">
        <is>
          <t>—</t>
        </is>
      </c>
      <c r="I182" s="10" t="inlineStr">
        <is>
          <t>200; `test-connection` vẫn thành công ⇒ credential cũ còn nguyên</t>
        </is>
      </c>
      <c r="J182" s="10" t="inlineStr">
        <is>
          <t>Functional</t>
        </is>
      </c>
      <c r="K182" s="10" t="inlineStr">
        <is>
          <t>P1 - Cao</t>
        </is>
      </c>
      <c r="L182" s="10" t="inlineStr">
        <is>
          <t>FR-INV-005</t>
        </is>
      </c>
      <c r="M182" s="11" t="inlineStr">
        <is>
          <t>Chưa chạy</t>
        </is>
      </c>
      <c r="N182" s="11" t="inlineStr"/>
      <c r="O182" s="11" t="inlineStr"/>
      <c r="P182" s="11" t="inlineStr"/>
    </row>
    <row r="183">
      <c r="A183" s="10" t="n">
        <v>182</v>
      </c>
      <c r="B183" s="10" t="inlineStr">
        <is>
          <t>TC-INV-API-020</t>
        </is>
      </c>
      <c r="C183" s="10" t="inlineStr">
        <is>
          <t>Inventory</t>
        </is>
      </c>
      <c r="D183" s="10" t="inlineStr">
        <is>
          <t>API — Backend — API, bảo mật &amp; CSDL</t>
        </is>
      </c>
      <c r="E183" s="10" t="inlineStr">
        <is>
          <t>Đổi credential</t>
        </is>
      </c>
      <c r="F183" s="10" t="inlineStr">
        <is>
          <t>Node tồn tại</t>
        </is>
      </c>
      <c r="G183" s="10" t="inlineStr">
        <is>
          <t>`PUT /nodes/{id}` với `changeCredential:true` + mật khẩu mới</t>
        </is>
      </c>
      <c r="H183" s="10" t="inlineStr">
        <is>
          <t>—</t>
        </is>
      </c>
      <c r="I183" s="10" t="inlineStr">
        <is>
          <t>200; ciphertext thay đổi; kết nối dùng mật khẩu mới</t>
        </is>
      </c>
      <c r="J183" s="10" t="inlineStr">
        <is>
          <t>Functional</t>
        </is>
      </c>
      <c r="K183" s="10" t="inlineStr">
        <is>
          <t>P1 - Cao</t>
        </is>
      </c>
      <c r="L183" s="10" t="inlineStr">
        <is>
          <t>FR-INV-005</t>
        </is>
      </c>
      <c r="M183" s="11" t="inlineStr">
        <is>
          <t>Chưa chạy</t>
        </is>
      </c>
      <c r="N183" s="11" t="inlineStr"/>
      <c r="O183" s="11" t="inlineStr"/>
      <c r="P183" s="11" t="inlineStr"/>
    </row>
    <row r="184">
      <c r="A184" s="10" t="n">
        <v>183</v>
      </c>
      <c r="B184" s="10" t="inlineStr">
        <is>
          <t>TC-INV-API-021</t>
        </is>
      </c>
      <c r="C184" s="10" t="inlineStr">
        <is>
          <t>Inventory</t>
        </is>
      </c>
      <c r="D184" s="10" t="inlineStr">
        <is>
          <t>API — Backend — API, bảo mật &amp; CSDL</t>
        </is>
      </c>
      <c r="E184" s="10" t="inlineStr">
        <is>
          <t>Đổi host xóa fingerprint</t>
        </is>
      </c>
      <c r="F184" s="10" t="inlineStr">
        <is>
          <t>Node đã ghim host key</t>
        </is>
      </c>
      <c r="G184" s="10" t="inlineStr">
        <is>
          <t>`PUT /nodes/{id}` đổi host</t>
        </is>
      </c>
      <c r="H184" s="10" t="inlineStr">
        <is>
          <t>—</t>
        </is>
      </c>
      <c r="I184" s="10" t="inlineStr">
        <is>
          <t>`hostKeyFingerprint` = null, cần ghim lại</t>
        </is>
      </c>
      <c r="J184" s="10" t="inlineStr">
        <is>
          <t>Security</t>
        </is>
      </c>
      <c r="K184" s="10" t="inlineStr">
        <is>
          <t>P2 - Trung bình</t>
        </is>
      </c>
      <c r="L184" s="10" t="inlineStr">
        <is>
          <t>UC-INV-02/A2</t>
        </is>
      </c>
      <c r="M184" s="11" t="inlineStr">
        <is>
          <t>Chưa chạy</t>
        </is>
      </c>
      <c r="N184" s="11" t="inlineStr"/>
      <c r="O184" s="11" t="inlineStr"/>
      <c r="P184" s="11" t="inlineStr"/>
    </row>
    <row r="185">
      <c r="A185" s="10" t="n">
        <v>184</v>
      </c>
      <c r="B185" s="10" t="inlineStr">
        <is>
          <t>TC-INV-API-022</t>
        </is>
      </c>
      <c r="C185" s="10" t="inlineStr">
        <is>
          <t>Inventory</t>
        </is>
      </c>
      <c r="D185" s="10" t="inlineStr">
        <is>
          <t>API — Backend — API, bảo mật &amp; CSDL</t>
        </is>
      </c>
      <c r="E185" s="10" t="inlineStr">
        <is>
          <t>Sửa cờ giám sát</t>
        </is>
      </c>
      <c r="F185" s="10" t="inlineStr">
        <is>
          <t>Node tồn tại</t>
        </is>
      </c>
      <c r="G185" s="10" t="inlineStr">
        <is>
          <t>`PUT /nodes/{id}` `monitorCpu:false`</t>
        </is>
      </c>
      <c r="H185" s="10" t="inlineStr">
        <is>
          <t>—</t>
        </is>
      </c>
      <c r="I185" s="10" t="inlineStr">
        <is>
          <t>200; `NodeUpdatedV1.changedFields` chứa `monitorCpu`; Monitoring ngừng thu CPU</t>
        </is>
      </c>
      <c r="J185" s="10" t="inlineStr">
        <is>
          <t>Integration</t>
        </is>
      </c>
      <c r="K185" s="10" t="inlineStr">
        <is>
          <t>P2 - Trung bình</t>
        </is>
      </c>
      <c r="L185" s="10" t="inlineStr">
        <is>
          <t>FR-INV-008</t>
        </is>
      </c>
      <c r="M185" s="11" t="inlineStr">
        <is>
          <t>Chưa chạy</t>
        </is>
      </c>
      <c r="N185" s="11" t="inlineStr"/>
      <c r="O185" s="11" t="inlineStr"/>
      <c r="P185" s="11" t="inlineStr"/>
    </row>
    <row r="186">
      <c r="A186" s="10" t="n">
        <v>185</v>
      </c>
      <c r="B186" s="10" t="inlineStr">
        <is>
          <t>TC-INV-API-023</t>
        </is>
      </c>
      <c r="C186" s="10" t="inlineStr">
        <is>
          <t>Inventory</t>
        </is>
      </c>
      <c r="D186" s="10" t="inlineStr">
        <is>
          <t>API — Backend — API, bảo mật &amp; CSDL</t>
        </is>
      </c>
      <c r="E186" s="10" t="inlineStr">
        <is>
          <t>Chu kỳ riêng ngoài phạm vi</t>
        </is>
      </c>
      <c r="F186" s="10" t="inlineStr">
        <is>
          <t>—</t>
        </is>
      </c>
      <c r="G186" s="10" t="inlineStr">
        <is>
          <t>`PUT /nodes/{id}` `checkIntervalSeconds: 10`</t>
        </is>
      </c>
      <c r="H186" s="10" t="inlineStr">
        <is>
          <t>—</t>
        </is>
      </c>
      <c r="I186" s="10" t="inlineStr">
        <is>
          <t>400 “Chu kỳ quét từ 60 đến 3600 giây”</t>
        </is>
      </c>
      <c r="J186" s="10" t="inlineStr">
        <is>
          <t>Validation</t>
        </is>
      </c>
      <c r="K186" s="10" t="inlineStr">
        <is>
          <t>P2 - Trung bình</t>
        </is>
      </c>
      <c r="L186" s="10" t="inlineStr">
        <is>
          <t>FR-INV-009</t>
        </is>
      </c>
      <c r="M186" s="11" t="inlineStr">
        <is>
          <t>Chưa chạy</t>
        </is>
      </c>
      <c r="N186" s="11" t="inlineStr"/>
      <c r="O186" s="11" t="inlineStr"/>
      <c r="P186" s="11" t="inlineStr"/>
    </row>
    <row r="187">
      <c r="A187" s="10" t="n">
        <v>186</v>
      </c>
      <c r="B187" s="10" t="inlineStr">
        <is>
          <t>TC-INV-API-024</t>
        </is>
      </c>
      <c r="C187" s="10" t="inlineStr">
        <is>
          <t>Inventory</t>
        </is>
      </c>
      <c r="D187" s="10" t="inlineStr">
        <is>
          <t>API — Backend — API, bảo mật &amp; CSDL</t>
        </is>
      </c>
      <c r="E187" s="10" t="inlineStr">
        <is>
          <t>Xung đột chỉnh sửa đồng thời</t>
        </is>
      </c>
      <c r="F187" s="10" t="inlineStr">
        <is>
          <t>Hai request cùng lúc</t>
        </is>
      </c>
      <c r="G187" s="10" t="inlineStr">
        <is>
          <t>`PUT` hai lần với `rowVersion` cũ</t>
        </is>
      </c>
      <c r="H187" s="10" t="inlineStr">
        <is>
          <t>—</t>
        </is>
      </c>
      <c r="I187" s="10" t="inlineStr">
        <is>
          <t>Request sau nhận 409</t>
        </is>
      </c>
      <c r="J187" s="10" t="inlineStr">
        <is>
          <t>Reliability</t>
        </is>
      </c>
      <c r="K187" s="10" t="inlineStr">
        <is>
          <t>P2 - Trung bình</t>
        </is>
      </c>
      <c r="L187" s="10" t="inlineStr">
        <is>
          <t>D2</t>
        </is>
      </c>
      <c r="M187" s="11" t="inlineStr">
        <is>
          <t>Chưa chạy</t>
        </is>
      </c>
      <c r="N187" s="11" t="inlineStr"/>
      <c r="O187" s="11" t="inlineStr"/>
      <c r="P187" s="11" t="inlineStr"/>
    </row>
    <row r="188">
      <c r="A188" s="10" t="n">
        <v>187</v>
      </c>
      <c r="B188" s="10" t="inlineStr">
        <is>
          <t>TC-INV-API-025</t>
        </is>
      </c>
      <c r="C188" s="10" t="inlineStr">
        <is>
          <t>Inventory</t>
        </is>
      </c>
      <c r="D188" s="10" t="inlineStr">
        <is>
          <t>API — Backend — API, bảo mật &amp; CSDL</t>
        </is>
      </c>
      <c r="E188" s="10" t="inlineStr">
        <is>
          <t>Bật/tắt giám sát</t>
        </is>
      </c>
      <c r="F188" s="10" t="inlineStr">
        <is>
          <t>Node active</t>
        </is>
      </c>
      <c r="G188" s="10" t="inlineStr">
        <is>
          <t>`PUT /nodes/{id}/monitoring` `{isActive:false}`</t>
        </is>
      </c>
      <c r="H188" s="10" t="inlineStr">
        <is>
          <t>—</t>
        </is>
      </c>
      <c r="I188" s="10" t="inlineStr">
        <is>
          <t>200; phát `NodeMonitoringToggledV1`; node không còn trong lệnh quét chu kỳ sau</t>
        </is>
      </c>
      <c r="J188" s="10" t="inlineStr">
        <is>
          <t>Functional</t>
        </is>
      </c>
      <c r="K188" s="10" t="inlineStr">
        <is>
          <t>P1 - Cao</t>
        </is>
      </c>
      <c r="L188" s="10" t="inlineStr">
        <is>
          <t>FR-INV-006</t>
        </is>
      </c>
      <c r="M188" s="11" t="inlineStr">
        <is>
          <t>Chưa chạy</t>
        </is>
      </c>
      <c r="N188" s="11" t="inlineStr"/>
      <c r="O188" s="11" t="inlineStr"/>
      <c r="P188" s="11" t="inlineStr"/>
    </row>
    <row r="189">
      <c r="A189" s="10" t="n">
        <v>188</v>
      </c>
      <c r="B189" s="10" t="inlineStr">
        <is>
          <t>TC-INV-API-026</t>
        </is>
      </c>
      <c r="C189" s="10" t="inlineStr">
        <is>
          <t>Inventory</t>
        </is>
      </c>
      <c r="D189" s="10" t="inlineStr">
        <is>
          <t>API — Backend — API, bảo mật &amp; CSDL</t>
        </is>
      </c>
      <c r="E189" s="10" t="inlineStr">
        <is>
          <t>OPERATOR bật/tắt được</t>
        </is>
      </c>
      <c r="F189" s="10" t="inlineStr">
        <is>
          <t>Đăng nhập OPERATOR</t>
        </is>
      </c>
      <c r="G189" s="10" t="inlineStr">
        <is>
          <t>như trên</t>
        </is>
      </c>
      <c r="H189" s="10" t="inlineStr">
        <is>
          <t>—</t>
        </is>
      </c>
      <c r="I189" s="10" t="inlineStr">
        <is>
          <t>200</t>
        </is>
      </c>
      <c r="J189" s="10" t="inlineStr">
        <is>
          <t>Security</t>
        </is>
      </c>
      <c r="K189" s="10" t="inlineStr">
        <is>
          <t>P2 - Trung bình</t>
        </is>
      </c>
      <c r="L189" s="10" t="inlineStr">
        <is>
          <t>RBAC</t>
        </is>
      </c>
      <c r="M189" s="11" t="inlineStr">
        <is>
          <t>Chưa chạy</t>
        </is>
      </c>
      <c r="N189" s="11" t="inlineStr"/>
      <c r="O189" s="11" t="inlineStr"/>
      <c r="P189" s="11" t="inlineStr"/>
    </row>
    <row r="190">
      <c r="A190" s="10" t="n">
        <v>189</v>
      </c>
      <c r="B190" s="10" t="inlineStr">
        <is>
          <t>TC-INV-API-027</t>
        </is>
      </c>
      <c r="C190" s="10" t="inlineStr">
        <is>
          <t>Inventory</t>
        </is>
      </c>
      <c r="D190" s="10" t="inlineStr">
        <is>
          <t>API — Backend — API, bảo mật &amp; CSDL</t>
        </is>
      </c>
      <c r="E190" s="10" t="inlineStr">
        <is>
          <t>VIEWER bật/tắt bị chặn</t>
        </is>
      </c>
      <c r="F190" s="10" t="inlineStr">
        <is>
          <t>Đăng nhập VIEWER</t>
        </is>
      </c>
      <c r="G190" s="10" t="inlineStr">
        <is>
          <t>như trên</t>
        </is>
      </c>
      <c r="H190" s="10" t="inlineStr">
        <is>
          <t>—</t>
        </is>
      </c>
      <c r="I190" s="10" t="inlineStr">
        <is>
          <t>403</t>
        </is>
      </c>
      <c r="J190" s="10" t="inlineStr">
        <is>
          <t>Security</t>
        </is>
      </c>
      <c r="K190" s="10" t="inlineStr">
        <is>
          <t>P1 - Cao</t>
        </is>
      </c>
      <c r="L190" s="10" t="inlineStr">
        <is>
          <t>NFR-SEC-008</t>
        </is>
      </c>
      <c r="M190" s="11" t="inlineStr">
        <is>
          <t>Chưa chạy</t>
        </is>
      </c>
      <c r="N190" s="11" t="inlineStr"/>
      <c r="O190" s="11" t="inlineStr"/>
      <c r="P190" s="11" t="inlineStr"/>
    </row>
    <row r="191">
      <c r="A191" s="10" t="n">
        <v>190</v>
      </c>
      <c r="B191" s="10" t="inlineStr">
        <is>
          <t>TC-INV-API-028</t>
        </is>
      </c>
      <c r="C191" s="10" t="inlineStr">
        <is>
          <t>Inventory</t>
        </is>
      </c>
      <c r="D191" s="10" t="inlineStr">
        <is>
          <t>API — Backend — API, bảo mật &amp; CSDL</t>
        </is>
      </c>
      <c r="E191" s="10" t="inlineStr">
        <is>
          <t>Xóa node (soft delete)</t>
        </is>
      </c>
      <c r="F191" s="10" t="inlineStr">
        <is>
          <t>Node có sự cố &amp; metric</t>
        </is>
      </c>
      <c r="G191" s="10" t="inlineStr">
        <is>
          <t>`DELETE /nodes/{id}`</t>
        </is>
      </c>
      <c r="H191" s="10" t="inlineStr">
        <is>
          <t>—</t>
        </is>
      </c>
      <c r="I191" s="10" t="inlineStr">
        <is>
          <t>204; `DeletedAt` khác null; bản ghi credential bị xóa cứng; lịch sử metric/sự cố vẫn truy vấn được</t>
        </is>
      </c>
      <c r="J191" s="10" t="inlineStr">
        <is>
          <t>Functional</t>
        </is>
      </c>
      <c r="K191" s="10" t="inlineStr">
        <is>
          <t>P1 - Cao</t>
        </is>
      </c>
      <c r="L191" s="10" t="inlineStr">
        <is>
          <t>FR-INV-007, BR-INV-004</t>
        </is>
      </c>
      <c r="M191" s="11" t="inlineStr">
        <is>
          <t>Chưa chạy</t>
        </is>
      </c>
      <c r="N191" s="11" t="inlineStr"/>
      <c r="O191" s="11" t="inlineStr"/>
      <c r="P191" s="11" t="inlineStr"/>
    </row>
    <row r="192">
      <c r="A192" s="10" t="n">
        <v>191</v>
      </c>
      <c r="B192" s="10" t="inlineStr">
        <is>
          <t>TC-INV-API-029</t>
        </is>
      </c>
      <c r="C192" s="10" t="inlineStr">
        <is>
          <t>Inventory</t>
        </is>
      </c>
      <c r="D192" s="10" t="inlineStr">
        <is>
          <t>API — Backend — API, bảo mật &amp; CSDL</t>
        </is>
      </c>
      <c r="E192" s="10" t="inlineStr">
        <is>
          <t>Xóa rồi tạo lại cùng host</t>
        </is>
      </c>
      <c r="F192" s="10" t="inlineStr">
        <is>
          <t>Node đã xóa</t>
        </is>
      </c>
      <c r="G192" s="10" t="inlineStr">
        <is>
          <t>`POST /nodes` cùng host:port</t>
        </is>
      </c>
      <c r="H192" s="10" t="inlineStr">
        <is>
          <t>—</t>
        </is>
      </c>
      <c r="I192" s="10" t="inlineStr">
        <is>
          <t>201 (ràng buộc unique chỉ áp dụng cho node chưa xóa)</t>
        </is>
      </c>
      <c r="J192" s="10" t="inlineStr">
        <is>
          <t>Functional</t>
        </is>
      </c>
      <c r="K192" s="10" t="inlineStr">
        <is>
          <t>P2 - Trung bình</t>
        </is>
      </c>
      <c r="L192" s="10" t="inlineStr">
        <is>
          <t>BR-INV-002</t>
        </is>
      </c>
      <c r="M192" s="11" t="inlineStr">
        <is>
          <t>Chưa chạy</t>
        </is>
      </c>
      <c r="N192" s="11" t="inlineStr"/>
      <c r="O192" s="11" t="inlineStr"/>
      <c r="P192" s="11" t="inlineStr"/>
    </row>
    <row r="193">
      <c r="A193" s="10" t="n">
        <v>192</v>
      </c>
      <c r="B193" s="10" t="inlineStr">
        <is>
          <t>TC-INV-API-030</t>
        </is>
      </c>
      <c r="C193" s="10" t="inlineStr">
        <is>
          <t>Inventory</t>
        </is>
      </c>
      <c r="D193" s="10" t="inlineStr">
        <is>
          <t>API — Backend — API, bảo mật &amp; CSDL</t>
        </is>
      </c>
      <c r="E193" s="10" t="inlineStr">
        <is>
          <t>OPERATOR tạo node</t>
        </is>
      </c>
      <c r="F193" s="10" t="inlineStr">
        <is>
          <t>Đăng nhập OPERATOR</t>
        </is>
      </c>
      <c r="G193" s="10" t="inlineStr">
        <is>
          <t>`POST /nodes`</t>
        </is>
      </c>
      <c r="H193" s="10" t="inlineStr">
        <is>
          <t>—</t>
        </is>
      </c>
      <c r="I193" s="10" t="inlineStr">
        <is>
          <t>403</t>
        </is>
      </c>
      <c r="J193" s="10" t="inlineStr">
        <is>
          <t>Security</t>
        </is>
      </c>
      <c r="K193" s="10" t="inlineStr">
        <is>
          <t>P1 - Cao</t>
        </is>
      </c>
      <c r="L193" s="10" t="inlineStr">
        <is>
          <t>NFR-SEC-008</t>
        </is>
      </c>
      <c r="M193" s="11" t="inlineStr">
        <is>
          <t>Chưa chạy</t>
        </is>
      </c>
      <c r="N193" s="11" t="inlineStr"/>
      <c r="O193" s="11" t="inlineStr"/>
      <c r="P193" s="11" t="inlineStr"/>
    </row>
    <row r="194">
      <c r="A194" s="10" t="n">
        <v>193</v>
      </c>
      <c r="B194" s="10" t="inlineStr">
        <is>
          <t>TC-INV-API-031</t>
        </is>
      </c>
      <c r="C194" s="10" t="inlineStr">
        <is>
          <t>Inventory</t>
        </is>
      </c>
      <c r="D194" s="10" t="inlineStr">
        <is>
          <t>API — Backend — API, bảo mật &amp; CSDL</t>
        </is>
      </c>
      <c r="E194" s="10" t="inlineStr">
        <is>
          <t>Kiểm tra kết nối thành công</t>
        </is>
      </c>
      <c r="F194" s="10" t="inlineStr">
        <is>
          <t>`node-ok`</t>
        </is>
      </c>
      <c r="G194" s="10" t="inlineStr">
        <is>
          <t>`POST /nodes/{id}/test-connection`</t>
        </is>
      </c>
      <c r="H194" s="10" t="inlineStr">
        <is>
          <t>—</t>
        </is>
      </c>
      <c r="I194" s="10" t="inlineStr">
        <is>
          <t>200 `{success:true, durationMs, fingerprint}`</t>
        </is>
      </c>
      <c r="J194" s="10" t="inlineStr">
        <is>
          <t>Functional</t>
        </is>
      </c>
      <c r="K194" s="10" t="inlineStr">
        <is>
          <t>P1 - Cao</t>
        </is>
      </c>
      <c r="L194" s="10" t="inlineStr">
        <is>
          <t>FR-INV-010</t>
        </is>
      </c>
      <c r="M194" s="11" t="inlineStr">
        <is>
          <t>Chưa chạy</t>
        </is>
      </c>
      <c r="N194" s="11" t="inlineStr"/>
      <c r="O194" s="11" t="inlineStr"/>
      <c r="P194" s="11" t="inlineStr"/>
    </row>
    <row r="195">
      <c r="A195" s="10" t="n">
        <v>194</v>
      </c>
      <c r="B195" s="10" t="inlineStr">
        <is>
          <t>TC-INV-API-032</t>
        </is>
      </c>
      <c r="C195" s="10" t="inlineStr">
        <is>
          <t>Inventory</t>
        </is>
      </c>
      <c r="D195" s="10" t="inlineStr">
        <is>
          <t>API — Backend — API, bảo mật &amp; CSDL</t>
        </is>
      </c>
      <c r="E195" s="10" t="inlineStr">
        <is>
          <t>Kiểm tra kết nối sai mật khẩu</t>
        </is>
      </c>
      <c r="F195" s="10" t="inlineStr">
        <is>
          <t>`node-authfail`</t>
        </is>
      </c>
      <c r="G195" s="10" t="inlineStr">
        <is>
          <t>như trên</t>
        </is>
      </c>
      <c r="H195" s="10" t="inlineStr">
        <is>
          <t>—</t>
        </is>
      </c>
      <c r="I195" s="10" t="inlineStr">
        <is>
          <t>200 `{success:false, failureKind:"AuthFailed"}`; thông báo không chứa mật khẩu</t>
        </is>
      </c>
      <c r="J195" s="10" t="inlineStr">
        <is>
          <t>Security</t>
        </is>
      </c>
      <c r="K195" s="10" t="inlineStr">
        <is>
          <t>P1 - Cao</t>
        </is>
      </c>
      <c r="L195" s="10" t="inlineStr">
        <is>
          <t>FR-INV-010</t>
        </is>
      </c>
      <c r="M195" s="11" t="inlineStr">
        <is>
          <t>Chưa chạy</t>
        </is>
      </c>
      <c r="N195" s="11" t="inlineStr"/>
      <c r="O195" s="11" t="inlineStr"/>
      <c r="P195" s="11" t="inlineStr"/>
    </row>
    <row r="196">
      <c r="A196" s="10" t="n">
        <v>195</v>
      </c>
      <c r="B196" s="10" t="inlineStr">
        <is>
          <t>TC-INV-API-033</t>
        </is>
      </c>
      <c r="C196" s="10" t="inlineStr">
        <is>
          <t>Inventory</t>
        </is>
      </c>
      <c r="D196" s="10" t="inlineStr">
        <is>
          <t>API — Backend — API, bảo mật &amp; CSDL</t>
        </is>
      </c>
      <c r="E196" s="10" t="inlineStr">
        <is>
          <t>Kiểm tra kết nối timeout</t>
        </is>
      </c>
      <c r="F196" s="10" t="inlineStr">
        <is>
          <t>`node-timeout`</t>
        </is>
      </c>
      <c r="G196" s="10" t="inlineStr">
        <is>
          <t>như trên</t>
        </is>
      </c>
      <c r="H196" s="10" t="inlineStr">
        <is>
          <t>—</t>
        </is>
      </c>
      <c r="I196" s="10" t="inlineStr">
        <is>
          <t>`failureKind:"ConnectTimeout"`, thời gian ≈ 10 giây</t>
        </is>
      </c>
      <c r="J196" s="10" t="inlineStr">
        <is>
          <t>Reliability</t>
        </is>
      </c>
      <c r="K196" s="10" t="inlineStr">
        <is>
          <t>P2 - Trung bình</t>
        </is>
      </c>
      <c r="L196" s="10" t="inlineStr">
        <is>
          <t>FR-MON-008</t>
        </is>
      </c>
      <c r="M196" s="11" t="inlineStr">
        <is>
          <t>Chưa chạy</t>
        </is>
      </c>
      <c r="N196" s="11" t="inlineStr"/>
      <c r="O196" s="11" t="inlineStr"/>
      <c r="P196" s="11" t="inlineStr"/>
    </row>
    <row r="197">
      <c r="A197" s="10" t="n">
        <v>196</v>
      </c>
      <c r="B197" s="10" t="inlineStr">
        <is>
          <t>TC-INV-API-034</t>
        </is>
      </c>
      <c r="C197" s="10" t="inlineStr">
        <is>
          <t>Inventory</t>
        </is>
      </c>
      <c r="D197" s="10" t="inlineStr">
        <is>
          <t>API — Backend — API, bảo mật &amp; CSDL</t>
        </is>
      </c>
      <c r="E197" s="10" t="inlineStr">
        <is>
          <t>Rate limit test-connection</t>
        </is>
      </c>
      <c r="F197" s="10" t="inlineStr">
        <is>
          <t>ADMIN</t>
        </is>
      </c>
      <c r="G197" s="10" t="inlineStr">
        <is>
          <t>Gọi 11 lần/phút</t>
        </is>
      </c>
      <c r="H197" s="10" t="inlineStr">
        <is>
          <t>—</t>
        </is>
      </c>
      <c r="I197" s="10" t="inlineStr">
        <is>
          <t>Lần thứ 11 trả 429</t>
        </is>
      </c>
      <c r="J197" s="10" t="inlineStr">
        <is>
          <t>Security</t>
        </is>
      </c>
      <c r="K197" s="10" t="inlineStr">
        <is>
          <t>P2 - Trung bình</t>
        </is>
      </c>
      <c r="L197" s="10" t="inlineStr">
        <is>
          <t>OWASP API6</t>
        </is>
      </c>
      <c r="M197" s="11" t="inlineStr">
        <is>
          <t>Chưa chạy</t>
        </is>
      </c>
      <c r="N197" s="11" t="inlineStr"/>
      <c r="O197" s="11" t="inlineStr"/>
      <c r="P197" s="11" t="inlineStr"/>
    </row>
    <row r="198">
      <c r="A198" s="10" t="n">
        <v>197</v>
      </c>
      <c r="B198" s="10" t="inlineStr">
        <is>
          <t>TC-INV-API-035</t>
        </is>
      </c>
      <c r="C198" s="10" t="inlineStr">
        <is>
          <t>Inventory</t>
        </is>
      </c>
      <c r="D198" s="10" t="inlineStr">
        <is>
          <t>API — Backend — API, bảo mật &amp; CSDL</t>
        </is>
      </c>
      <c r="E198" s="10" t="inlineStr">
        <is>
          <t>API nội bộ lấy credential — có scope</t>
        </is>
      </c>
      <c r="F198" s="10" t="inlineStr">
        <is>
          <t>Token client-credentials đúng scope</t>
        </is>
      </c>
      <c r="G198" s="10" t="inlineStr">
        <is>
          <t>`GET /internal/nodes/{id}/credentials`</t>
        </is>
      </c>
      <c r="H198" s="10" t="inlineStr">
        <is>
          <t>—</t>
        </is>
      </c>
      <c r="I198" s="10" t="inlineStr">
        <is>
          <t>200 với secret giải mã; audit ghi `CREDENTIAL_ACCESSED`</t>
        </is>
      </c>
      <c r="J198" s="10" t="inlineStr">
        <is>
          <t>Security</t>
        </is>
      </c>
      <c r="K198" s="10" t="inlineStr">
        <is>
          <t>P1 - Cao</t>
        </is>
      </c>
      <c r="L198" s="10" t="inlineStr">
        <is>
          <t>FR-INV-014</t>
        </is>
      </c>
      <c r="M198" s="11" t="inlineStr">
        <is>
          <t>Chưa chạy</t>
        </is>
      </c>
      <c r="N198" s="11" t="inlineStr"/>
      <c r="O198" s="11" t="inlineStr"/>
      <c r="P198" s="11" t="inlineStr"/>
    </row>
    <row r="199">
      <c r="A199" s="10" t="n">
        <v>198</v>
      </c>
      <c r="B199" s="10" t="inlineStr">
        <is>
          <t>TC-INV-API-036</t>
        </is>
      </c>
      <c r="C199" s="10" t="inlineStr">
        <is>
          <t>Inventory</t>
        </is>
      </c>
      <c r="D199" s="10" t="inlineStr">
        <is>
          <t>API — Backend — API, bảo mật &amp; CSDL</t>
        </is>
      </c>
      <c r="E199" s="10" t="inlineStr">
        <is>
          <t>API nội bộ — token người dùng</t>
        </is>
      </c>
      <c r="F199" s="10" t="inlineStr">
        <is>
          <t>Bearer token của ADMIN</t>
        </is>
      </c>
      <c r="G199" s="10" t="inlineStr">
        <is>
          <t>như trên</t>
        </is>
      </c>
      <c r="H199" s="10" t="inlineStr">
        <is>
          <t>—</t>
        </is>
      </c>
      <c r="I199" s="10" t="inlineStr">
        <is>
          <t>403 (chỉ chấp nhận token dịch vụ có scope)</t>
        </is>
      </c>
      <c r="J199" s="10" t="inlineStr">
        <is>
          <t>Security</t>
        </is>
      </c>
      <c r="K199" s="10" t="inlineStr">
        <is>
          <t>P1 - Cao</t>
        </is>
      </c>
      <c r="L199" s="10" t="inlineStr">
        <is>
          <t>FR-INV-014</t>
        </is>
      </c>
      <c r="M199" s="11" t="inlineStr">
        <is>
          <t>Chưa chạy</t>
        </is>
      </c>
      <c r="N199" s="11" t="inlineStr"/>
      <c r="O199" s="11" t="inlineStr"/>
      <c r="P199" s="11" t="inlineStr"/>
    </row>
    <row r="200">
      <c r="A200" s="10" t="n">
        <v>199</v>
      </c>
      <c r="B200" s="10" t="inlineStr">
        <is>
          <t>TC-INV-API-037</t>
        </is>
      </c>
      <c r="C200" s="10" t="inlineStr">
        <is>
          <t>Inventory</t>
        </is>
      </c>
      <c r="D200" s="10" t="inlineStr">
        <is>
          <t>API — Backend — API, bảo mật &amp; CSDL</t>
        </is>
      </c>
      <c r="E200" s="10" t="inlineStr">
        <is>
          <t>API nội bộ không lộ ra Gateway</t>
        </is>
      </c>
      <c r="F200" s="10" t="inlineStr">
        <is>
          <t>—</t>
        </is>
      </c>
      <c r="G200" s="10" t="inlineStr">
        <is>
          <t>`GET /api/v1/internal/nodes/{id}/credentials` qua Gateway</t>
        </is>
      </c>
      <c r="H200" s="10" t="inlineStr">
        <is>
          <t>—</t>
        </is>
      </c>
      <c r="I200" s="10" t="inlineStr">
        <is>
          <t>404 (route không khai báo)</t>
        </is>
      </c>
      <c r="J200" s="10" t="inlineStr">
        <is>
          <t>Security</t>
        </is>
      </c>
      <c r="K200" s="10" t="inlineStr">
        <is>
          <t>P1 - Cao</t>
        </is>
      </c>
      <c r="L200" s="10" t="inlineStr">
        <is>
          <t>FR-GW-001</t>
        </is>
      </c>
      <c r="M200" s="11" t="inlineStr">
        <is>
          <t>Chưa chạy</t>
        </is>
      </c>
      <c r="N200" s="11" t="inlineStr"/>
      <c r="O200" s="11" t="inlineStr"/>
      <c r="P200" s="11" t="inlineStr"/>
    </row>
    <row r="201">
      <c r="A201" s="10" t="n">
        <v>200</v>
      </c>
      <c r="B201" s="10" t="inlineStr">
        <is>
          <t>TC-INV-INT-001</t>
        </is>
      </c>
      <c r="C201" s="10" t="inlineStr">
        <is>
          <t>Inventory</t>
        </is>
      </c>
      <c r="D201" s="10" t="inlineStr">
        <is>
          <t>Integration — Backend — API, bảo mật &amp; CSDL</t>
        </is>
      </c>
      <c r="E201" s="10" t="inlineStr">
        <is>
          <t>Event khi tạo node</t>
        </is>
      </c>
      <c r="F201" s="10" t="inlineStr">
        <is>
          <t>Test harness</t>
        </is>
      </c>
      <c r="G201" s="10" t="inlineStr">
        <is>
          <t>Tạo node</t>
        </is>
      </c>
      <c r="H201" s="10" t="inlineStr">
        <is>
          <t>—</t>
        </is>
      </c>
      <c r="I201" s="10" t="inlineStr">
        <is>
          <t>`NodeCreatedV1` publish đúng một lần sau commit; nội dung không chứa credential</t>
        </is>
      </c>
      <c r="J201" s="10" t="inlineStr">
        <is>
          <t>Integration</t>
        </is>
      </c>
      <c r="K201" s="10" t="inlineStr">
        <is>
          <t>P1 - Cao</t>
        </is>
      </c>
      <c r="L201" s="10" t="inlineStr">
        <is>
          <t>FR-INV-015, ADR-04</t>
        </is>
      </c>
      <c r="M201" s="11" t="inlineStr">
        <is>
          <t>Chưa chạy</t>
        </is>
      </c>
      <c r="N201" s="11" t="inlineStr"/>
      <c r="O201" s="11" t="inlineStr"/>
      <c r="P201" s="11" t="inlineStr"/>
    </row>
    <row r="202">
      <c r="A202" s="10" t="n">
        <v>201</v>
      </c>
      <c r="B202" s="10" t="inlineStr">
        <is>
          <t>TC-INV-INT-002</t>
        </is>
      </c>
      <c r="C202" s="10" t="inlineStr">
        <is>
          <t>Inventory</t>
        </is>
      </c>
      <c r="D202" s="10" t="inlineStr">
        <is>
          <t>Integration — Backend — API, bảo mật &amp; CSDL</t>
        </is>
      </c>
      <c r="E202" s="10" t="inlineStr">
        <is>
          <t>Outbox khi transaction thất bại</t>
        </is>
      </c>
      <c r="F202" s="10" t="inlineStr">
        <is>
          <t>Ép lỗi sau khi ghi</t>
        </is>
      </c>
      <c r="G202" s="10" t="inlineStr">
        <is>
          <t>Tạo node lỗi</t>
        </is>
      </c>
      <c r="H202" s="10" t="inlineStr">
        <is>
          <t>—</t>
        </is>
      </c>
      <c r="I202" s="10" t="inlineStr">
        <is>
          <t>Không có node, không có event nào được publish</t>
        </is>
      </c>
      <c r="J202" s="10" t="inlineStr">
        <is>
          <t>Reliability</t>
        </is>
      </c>
      <c r="K202" s="10" t="inlineStr">
        <is>
          <t>P1 - Cao</t>
        </is>
      </c>
      <c r="L202" s="10" t="inlineStr">
        <is>
          <t>NFR-AVL-002</t>
        </is>
      </c>
      <c r="M202" s="11" t="inlineStr">
        <is>
          <t>Chưa chạy</t>
        </is>
      </c>
      <c r="N202" s="11" t="inlineStr"/>
      <c r="O202" s="11" t="inlineStr"/>
      <c r="P202" s="11" t="inlineStr"/>
    </row>
    <row r="203">
      <c r="A203" s="10" t="n">
        <v>202</v>
      </c>
      <c r="B203" s="10" t="inlineStr">
        <is>
          <t>TC-INV-INT-003</t>
        </is>
      </c>
      <c r="C203" s="10" t="inlineStr">
        <is>
          <t>Inventory</t>
        </is>
      </c>
      <c r="D203" s="10" t="inlineStr">
        <is>
          <t>Integration — Backend — API, bảo mật &amp; CSDL</t>
        </is>
      </c>
      <c r="E203" s="10" t="inlineStr">
        <is>
          <t>Xoay khóa mã hóa</t>
        </is>
      </c>
      <c r="F203" s="10" t="inlineStr">
        <is>
          <t>Có `KeyId=K1`</t>
        </is>
      </c>
      <c r="G203" s="10" t="inlineStr">
        <is>
          <t>Thêm `K2`, chạy job mã hóa lại</t>
        </is>
      </c>
      <c r="H203" s="10" t="inlineStr">
        <is>
          <t>—</t>
        </is>
      </c>
      <c r="I203" s="10" t="inlineStr">
        <is>
          <t>Bản ghi chuyển sang `K2`, giải mã vẫn đúng, không downtime</t>
        </is>
      </c>
      <c r="J203" s="10" t="inlineStr">
        <is>
          <t>Security</t>
        </is>
      </c>
      <c r="K203" s="10" t="inlineStr">
        <is>
          <t>P2 - Trung bình</t>
        </is>
      </c>
      <c r="L203" s="10" t="inlineStr">
        <is>
          <t>FR-INV-016</t>
        </is>
      </c>
      <c r="M203" s="11" t="inlineStr">
        <is>
          <t>Chưa chạy</t>
        </is>
      </c>
      <c r="N203" s="11" t="inlineStr"/>
      <c r="O203" s="11" t="inlineStr"/>
      <c r="P203" s="11" t="inlineStr"/>
    </row>
    <row r="204">
      <c r="A204" s="10" t="n">
        <v>203</v>
      </c>
      <c r="B204" s="10" t="inlineStr">
        <is>
          <t>TC-INV-SEC-001</t>
        </is>
      </c>
      <c r="C204" s="10" t="inlineStr">
        <is>
          <t>Inventory</t>
        </is>
      </c>
      <c r="D204" s="10" t="inlineStr">
        <is>
          <t>Security — Backend — API, bảo mật &amp; CSDL</t>
        </is>
      </c>
      <c r="E204" s="10" t="inlineStr">
        <is>
          <t>Log không chứa credential</t>
        </is>
      </c>
      <c r="F204" s="10" t="inlineStr">
        <is>
          <t>—</t>
        </is>
      </c>
      <c r="G204" s="10" t="inlineStr">
        <is>
          <t>Tạo node + quét, đọc log</t>
        </is>
      </c>
      <c r="H204" s="10" t="inlineStr">
        <is>
          <t>—</t>
        </is>
      </c>
      <c r="I204" s="10" t="inlineStr">
        <is>
          <t>Không tìm thấy mật khẩu/private key trong log của mọi service</t>
        </is>
      </c>
      <c r="J204" s="10" t="inlineStr">
        <is>
          <t>Security</t>
        </is>
      </c>
      <c r="K204" s="10" t="inlineStr">
        <is>
          <t>P1 - Cao</t>
        </is>
      </c>
      <c r="L204" s="10" t="inlineStr">
        <is>
          <t>NFR-SEC-007</t>
        </is>
      </c>
      <c r="M204" s="11" t="inlineStr">
        <is>
          <t>Chưa chạy</t>
        </is>
      </c>
      <c r="N204" s="11" t="inlineStr"/>
      <c r="O204" s="11" t="inlineStr"/>
      <c r="P204" s="11" t="inlineStr"/>
    </row>
    <row r="205">
      <c r="A205" s="10" t="n">
        <v>204</v>
      </c>
      <c r="B205" s="10" t="inlineStr">
        <is>
          <t>TC-INV-SEC-002</t>
        </is>
      </c>
      <c r="C205" s="10" t="inlineStr">
        <is>
          <t>Inventory</t>
        </is>
      </c>
      <c r="D205" s="10" t="inlineStr">
        <is>
          <t>Security — Backend — API, bảo mật &amp; CSDL</t>
        </is>
      </c>
      <c r="E205" s="10" t="inlineStr">
        <is>
          <t>Host key khác bản ghim bị chặn</t>
        </is>
      </c>
      <c r="F205" s="10" t="inlineStr">
        <is>
          <t>`node-hostkey` đã ghim</t>
        </is>
      </c>
      <c r="G205" s="10" t="inlineStr">
        <is>
          <t>Đổi host key trên máy chủ rồi quét</t>
        </is>
      </c>
      <c r="H205" s="10" t="inlineStr">
        <is>
          <t>—</t>
        </is>
      </c>
      <c r="I205" s="10" t="inlineStr">
        <is>
          <t>Kết nối bị hủy trước khi gửi credential; `failureKind=HostKeyMismatch`; sự cố `HOST_KEY_MISMATCH` mở</t>
        </is>
      </c>
      <c r="J205" s="10" t="inlineStr">
        <is>
          <t>Security</t>
        </is>
      </c>
      <c r="K205" s="10" t="inlineStr">
        <is>
          <t>P1 - Cao</t>
        </is>
      </c>
      <c r="L205" s="10" t="inlineStr">
        <is>
          <t>FR-INV-011, BR-INV-006</t>
        </is>
      </c>
      <c r="M205" s="11" t="inlineStr">
        <is>
          <t>Chưa chạy</t>
        </is>
      </c>
      <c r="N205" s="11" t="inlineStr"/>
      <c r="O205" s="11" t="inlineStr"/>
      <c r="P205" s="11" t="inlineStr"/>
    </row>
    <row r="206">
      <c r="A206" s="10" t="n">
        <v>205</v>
      </c>
      <c r="B206" s="10" t="inlineStr">
        <is>
          <t>TC-INV-SEC-003</t>
        </is>
      </c>
      <c r="C206" s="10" t="inlineStr">
        <is>
          <t>Inventory</t>
        </is>
      </c>
      <c r="D206" s="10" t="inlineStr">
        <is>
          <t>Security — Backend — API, bảo mật &amp; CSDL</t>
        </is>
      </c>
      <c r="E206" s="10" t="inlineStr">
        <is>
          <t>Ghim lại host key cần ADMIN</t>
        </is>
      </c>
      <c r="F206" s="10" t="inlineStr">
        <is>
          <t>Sự cố host key đang mở</t>
        </is>
      </c>
      <c r="G206" s="10" t="inlineStr">
        <is>
          <t>OPERATOR gọi `POST /nodes/{id}/host-key/pin`</t>
        </is>
      </c>
      <c r="H206" s="10" t="inlineStr">
        <is>
          <t>—</t>
        </is>
      </c>
      <c r="I206" s="10" t="inlineStr">
        <is>
          <t>403; ADMIN gọi → 204 + audit `NODE_HOSTKEY_PINNED`</t>
        </is>
      </c>
      <c r="J206" s="10" t="inlineStr">
        <is>
          <t>Security</t>
        </is>
      </c>
      <c r="K206" s="10" t="inlineStr">
        <is>
          <t>P1 - Cao</t>
        </is>
      </c>
      <c r="L206" s="10" t="inlineStr">
        <is>
          <t>UC-INV-05</t>
        </is>
      </c>
      <c r="M206" s="11" t="inlineStr">
        <is>
          <t>Chưa chạy</t>
        </is>
      </c>
      <c r="N206" s="11" t="inlineStr"/>
      <c r="O206" s="11" t="inlineStr"/>
      <c r="P206" s="11" t="inlineStr"/>
    </row>
    <row r="207">
      <c r="A207" s="10" t="n">
        <v>206</v>
      </c>
      <c r="B207" s="10" t="inlineStr">
        <is>
          <t>TC-INV-SEC-004</t>
        </is>
      </c>
      <c r="C207" s="10" t="inlineStr">
        <is>
          <t>Inventory</t>
        </is>
      </c>
      <c r="D207" s="10" t="inlineStr">
        <is>
          <t>Security — Backend — API, bảo mật &amp; CSDL</t>
        </is>
      </c>
      <c r="E207" s="10" t="inlineStr">
        <is>
          <t>BOLA — truy cập node bằng id đoán</t>
        </is>
      </c>
      <c r="F207" s="10" t="inlineStr">
        <is>
          <t>Đăng nhập VIEWER</t>
        </is>
      </c>
      <c r="G207" s="10" t="inlineStr">
        <is>
          <t>`GET /nodes/{id}` của node bất kỳ</t>
        </is>
      </c>
      <c r="H207" s="10" t="inlineStr">
        <is>
          <t>—</t>
        </is>
      </c>
      <c r="I207" s="10" t="inlineStr">
        <is>
          <t>200 (VIEWER được xem) nhưng `PUT/DELETE` → 403; id là GUID không đoán tuần tự được</t>
        </is>
      </c>
      <c r="J207" s="10" t="inlineStr">
        <is>
          <t>Security</t>
        </is>
      </c>
      <c r="K207" s="10" t="inlineStr">
        <is>
          <t>P1 - Cao</t>
        </is>
      </c>
      <c r="L207" s="10" t="inlineStr">
        <is>
          <t>OWASP API1</t>
        </is>
      </c>
      <c r="M207" s="11" t="inlineStr">
        <is>
          <t>Chưa chạy</t>
        </is>
      </c>
      <c r="N207" s="11" t="inlineStr"/>
      <c r="O207" s="11" t="inlineStr"/>
      <c r="P207" s="11" t="inlineStr"/>
    </row>
    <row r="208">
      <c r="A208" s="10" t="n">
        <v>207</v>
      </c>
      <c r="B208" s="10" t="inlineStr">
        <is>
          <t>TC-INV-E2E-001</t>
        </is>
      </c>
      <c r="C208" s="10" t="inlineStr">
        <is>
          <t>Inventory</t>
        </is>
      </c>
      <c r="D208" s="10" t="inlineStr">
        <is>
          <t>E2E (UI) — Frontend</t>
        </is>
      </c>
      <c r="E208" s="10" t="inlineStr">
        <is>
          <t>Hiển thị danh sách node</t>
        </is>
      </c>
      <c r="F208" s="10" t="inlineStr">
        <is>
          <t>Có ≥ 5 node</t>
        </is>
      </c>
      <c r="G208" s="10" t="inlineStr">
        <is>
          <t>Mở `/app/nodes`</t>
        </is>
      </c>
      <c r="H208" s="10" t="inlineStr">
        <is>
          <t>—</t>
        </is>
      </c>
      <c r="I208" s="10" t="inlineStr">
        <is>
          <t>Bảng hiển thị tên (link), host monospace, port badge, thanh CPU/RAM/Disk có màu + nhãn chữ, công tắc giám sát</t>
        </is>
      </c>
      <c r="J208" s="10" t="inlineStr">
        <is>
          <t>UI/UX</t>
        </is>
      </c>
      <c r="K208" s="10" t="inlineStr">
        <is>
          <t>P1 - Cao</t>
        </is>
      </c>
      <c r="L208" s="10" t="inlineStr">
        <is>
          <t>FR-INV-FE-001</t>
        </is>
      </c>
      <c r="M208" s="11" t="inlineStr">
        <is>
          <t>Chưa chạy</t>
        </is>
      </c>
      <c r="N208" s="11" t="inlineStr"/>
      <c r="O208" s="11" t="inlineStr"/>
      <c r="P208" s="11" t="inlineStr"/>
    </row>
    <row r="209">
      <c r="A209" s="10" t="n">
        <v>208</v>
      </c>
      <c r="B209" s="10" t="inlineStr">
        <is>
          <t>TC-INV-E2E-002</t>
        </is>
      </c>
      <c r="C209" s="10" t="inlineStr">
        <is>
          <t>Inventory</t>
        </is>
      </c>
      <c r="D209" s="10" t="inlineStr">
        <is>
          <t>E2E (UI) — Frontend</t>
        </is>
      </c>
      <c r="E209" s="10" t="inlineStr">
        <is>
          <t>Màu thanh tiến trình theo ngưỡng</t>
        </is>
      </c>
      <c r="F209" s="10" t="inlineStr">
        <is>
          <t>Node có Disk 45 / 85 / 92</t>
        </is>
      </c>
      <c r="G209" s="10" t="inlineStr">
        <is>
          <t>Quan sát</t>
        </is>
      </c>
      <c r="H209" s="10" t="inlineStr">
        <is>
          <t>—</t>
        </is>
      </c>
      <c r="I209" s="10" t="inlineStr">
        <is>
          <t>Lần lượt xanh / vàng / đỏ, kèm nhãn “Bình thường / Cảnh báo / Nguy cấp”</t>
        </is>
      </c>
      <c r="J209" s="10" t="inlineStr">
        <is>
          <t>UI/UX</t>
        </is>
      </c>
      <c r="K209" s="10" t="inlineStr">
        <is>
          <t>P2 - Trung bình</t>
        </is>
      </c>
      <c r="L209" s="10" t="inlineStr">
        <is>
          <t>FR-INV-FE-001, NFR-USA-004</t>
        </is>
      </c>
      <c r="M209" s="11" t="inlineStr">
        <is>
          <t>Chưa chạy</t>
        </is>
      </c>
      <c r="N209" s="11" t="inlineStr"/>
      <c r="O209" s="11" t="inlineStr"/>
      <c r="P209" s="11" t="inlineStr"/>
    </row>
    <row r="210">
      <c r="A210" s="10" t="n">
        <v>209</v>
      </c>
      <c r="B210" s="10" t="inlineStr">
        <is>
          <t>TC-INV-E2E-003</t>
        </is>
      </c>
      <c r="C210" s="10" t="inlineStr">
        <is>
          <t>Inventory</t>
        </is>
      </c>
      <c r="D210" s="10" t="inlineStr">
        <is>
          <t>E2E (UI) — Frontend</t>
        </is>
      </c>
      <c r="E210" s="10" t="inlineStr">
        <is>
          <t>Mở modal thêm node</t>
        </is>
      </c>
      <c r="F210" s="10" t="inlineStr">
        <is>
          <t>ADMIN</t>
        </is>
      </c>
      <c r="G210" s="10" t="inlineStr">
        <is>
          <t>Bấm “Thêm máy chủ”</t>
        </is>
      </c>
      <c r="H210" s="10" t="inlineStr">
        <is>
          <t>—</t>
        </is>
      </c>
      <c r="I210" s="10" t="inlineStr">
        <is>
          <t>Modal mở, tab Password active, 3 checkbox giám sát bật, focus ở ô đầu tiên, đóng được bằng `Esc`</t>
        </is>
      </c>
      <c r="J210" s="10" t="inlineStr">
        <is>
          <t>UI/UX</t>
        </is>
      </c>
      <c r="K210" s="10" t="inlineStr">
        <is>
          <t>P1 - Cao</t>
        </is>
      </c>
      <c r="L210" s="10" t="inlineStr">
        <is>
          <t>FR-INV-FE-003</t>
        </is>
      </c>
      <c r="M210" s="11" t="inlineStr">
        <is>
          <t>Chưa chạy</t>
        </is>
      </c>
      <c r="N210" s="11" t="inlineStr"/>
      <c r="O210" s="11" t="inlineStr"/>
      <c r="P210" s="11" t="inlineStr"/>
    </row>
    <row r="211">
      <c r="A211" s="10" t="n">
        <v>210</v>
      </c>
      <c r="B211" s="10" t="inlineStr">
        <is>
          <t>TC-INV-E2E-004</t>
        </is>
      </c>
      <c r="C211" s="10" t="inlineStr">
        <is>
          <t>Inventory</t>
        </is>
      </c>
      <c r="D211" s="10" t="inlineStr">
        <is>
          <t>E2E (UI) — Frontend</t>
        </is>
      </c>
      <c r="E211" s="10" t="inlineStr">
        <is>
          <t>Chuyển tab xác thực</t>
        </is>
      </c>
      <c r="F211" s="10" t="inlineStr">
        <is>
          <t>Modal mở</t>
        </is>
      </c>
      <c r="G211" s="10" t="inlineStr">
        <is>
          <t>Bấm tab SSH Key rồi quay lại</t>
        </is>
      </c>
      <c r="H211" s="10" t="inlineStr">
        <is>
          <t>—</t>
        </is>
      </c>
      <c r="I211" s="10" t="inlineStr">
        <is>
          <t>Trường hiển thị đúng theo tab; giá trị đã nhập không bị mất ngoài ý muốn</t>
        </is>
      </c>
      <c r="J211" s="10" t="inlineStr">
        <is>
          <t>Functional</t>
        </is>
      </c>
      <c r="K211" s="10" t="inlineStr">
        <is>
          <t>P2 - Trung bình</t>
        </is>
      </c>
      <c r="L211" s="10" t="inlineStr">
        <is>
          <t>FR-INV-FE-003</t>
        </is>
      </c>
      <c r="M211" s="11" t="inlineStr">
        <is>
          <t>Chưa chạy</t>
        </is>
      </c>
      <c r="N211" s="11" t="inlineStr"/>
      <c r="O211" s="11" t="inlineStr"/>
      <c r="P211" s="11" t="inlineStr"/>
    </row>
    <row r="212">
      <c r="A212" s="10" t="n">
        <v>211</v>
      </c>
      <c r="B212" s="10" t="inlineStr">
        <is>
          <t>TC-INV-E2E-005</t>
        </is>
      </c>
      <c r="C212" s="10" t="inlineStr">
        <is>
          <t>Inventory</t>
        </is>
      </c>
      <c r="D212" s="10" t="inlineStr">
        <is>
          <t>E2E (UI) — Frontend</t>
        </is>
      </c>
      <c r="E212" s="10" t="inlineStr">
        <is>
          <t>Validate client</t>
        </is>
      </c>
      <c r="F212" s="10" t="inlineStr">
        <is>
          <t>Modal mở</t>
        </is>
      </c>
      <c r="G212" s="10" t="inlineStr">
        <is>
          <t>Nhập tên rỗng, host `abc def`, port `70000`, bấm Lưu</t>
        </is>
      </c>
      <c r="H212" s="10" t="inlineStr">
        <is>
          <t>—</t>
        </is>
      </c>
      <c r="I212" s="10" t="inlineStr">
        <is>
          <t>3 lỗi tiếng Việt hiển thị dưới từng ô; không có request nào được gửi</t>
        </is>
      </c>
      <c r="J212" s="10" t="inlineStr">
        <is>
          <t>Validation</t>
        </is>
      </c>
      <c r="K212" s="10" t="inlineStr">
        <is>
          <t>P1 - Cao</t>
        </is>
      </c>
      <c r="L212" s="10" t="inlineStr">
        <is>
          <t>FR-INV-FE-004</t>
        </is>
      </c>
      <c r="M212" s="11" t="inlineStr">
        <is>
          <t>Chưa chạy</t>
        </is>
      </c>
      <c r="N212" s="11" t="inlineStr"/>
      <c r="O212" s="11" t="inlineStr"/>
      <c r="P212" s="11" t="inlineStr"/>
    </row>
    <row r="213">
      <c r="A213" s="10" t="n">
        <v>212</v>
      </c>
      <c r="B213" s="10" t="inlineStr">
        <is>
          <t>TC-INV-E2E-006</t>
        </is>
      </c>
      <c r="C213" s="10" t="inlineStr">
        <is>
          <t>Inventory</t>
        </is>
      </c>
      <c r="D213" s="10" t="inlineStr">
        <is>
          <t>E2E (UI) — Frontend</t>
        </is>
      </c>
      <c r="E213" s="10" t="inlineStr">
        <is>
          <t>Lỗi 409 map vào field</t>
        </is>
      </c>
      <c r="F213" s="10" t="inlineStr">
        <is>
          <t>Có node trùng host</t>
        </is>
      </c>
      <c r="G213" s="10" t="inlineStr">
        <is>
          <t>Nhập host trùng, Lưu</t>
        </is>
      </c>
      <c r="H213" s="10" t="inlineStr">
        <is>
          <t>—</t>
        </is>
      </c>
      <c r="I213" s="10" t="inlineStr">
        <is>
          <t>Lỗi hiển thị dưới ô Host (không chỉ toast)</t>
        </is>
      </c>
      <c r="J213" s="10" t="inlineStr">
        <is>
          <t>Validation</t>
        </is>
      </c>
      <c r="K213" s="10" t="inlineStr">
        <is>
          <t>P1 - Cao</t>
        </is>
      </c>
      <c r="L213" s="10" t="inlineStr">
        <is>
          <t>FR-INV-FE-004</t>
        </is>
      </c>
      <c r="M213" s="11" t="inlineStr">
        <is>
          <t>Chưa chạy</t>
        </is>
      </c>
      <c r="N213" s="11" t="inlineStr"/>
      <c r="O213" s="11" t="inlineStr"/>
      <c r="P213" s="11" t="inlineStr"/>
    </row>
    <row r="214">
      <c r="A214" s="10" t="n">
        <v>213</v>
      </c>
      <c r="B214" s="10" t="inlineStr">
        <is>
          <t>TC-INV-E2E-007</t>
        </is>
      </c>
      <c r="C214" s="10" t="inlineStr">
        <is>
          <t>Inventory</t>
        </is>
      </c>
      <c r="D214" s="10" t="inlineStr">
        <is>
          <t>E2E (UI) — Frontend</t>
        </is>
      </c>
      <c r="E214" s="10" t="inlineStr">
        <is>
          <t>Kiểm tra kết nối trong modal</t>
        </is>
      </c>
      <c r="F214" s="10" t="inlineStr">
        <is>
          <t>Modal mở với thông tin `node-ok`</t>
        </is>
      </c>
      <c r="G214" s="10" t="inlineStr">
        <is>
          <t>Bấm “Kiểm tra kết nối”</t>
        </is>
      </c>
      <c r="H214" s="10" t="inlineStr">
        <is>
          <t>—</t>
        </is>
      </c>
      <c r="I214" s="10" t="inlineStr">
        <is>
          <t>Hiện trạng thái đang thử rồi kết quả thành công kèm thời gian</t>
        </is>
      </c>
      <c r="J214" s="10" t="inlineStr">
        <is>
          <t>Functional</t>
        </is>
      </c>
      <c r="K214" s="10" t="inlineStr">
        <is>
          <t>P2 - Trung bình</t>
        </is>
      </c>
      <c r="L214" s="10" t="inlineStr">
        <is>
          <t>FR-INV-FE-005</t>
        </is>
      </c>
      <c r="M214" s="11" t="inlineStr">
        <is>
          <t>Chưa chạy</t>
        </is>
      </c>
      <c r="N214" s="11" t="inlineStr"/>
      <c r="O214" s="11" t="inlineStr"/>
      <c r="P214" s="11" t="inlineStr"/>
    </row>
    <row r="215">
      <c r="A215" s="10" t="n">
        <v>214</v>
      </c>
      <c r="B215" s="10" t="inlineStr">
        <is>
          <t>TC-INV-E2E-008</t>
        </is>
      </c>
      <c r="C215" s="10" t="inlineStr">
        <is>
          <t>Inventory</t>
        </is>
      </c>
      <c r="D215" s="10" t="inlineStr">
        <is>
          <t>E2E (UI) — Frontend</t>
        </is>
      </c>
      <c r="E215" s="10" t="inlineStr">
        <is>
          <t>Thêm node thành công</t>
        </is>
      </c>
      <c r="F215" s="10" t="inlineStr">
        <is>
          <t>Modal hợp lệ</t>
        </is>
      </c>
      <c r="G215" s="10" t="inlineStr">
        <is>
          <t>Bấm Lưu</t>
        </is>
      </c>
      <c r="H215" s="10" t="inlineStr">
        <is>
          <t>—</t>
        </is>
      </c>
      <c r="I215" s="10" t="inlineStr">
        <is>
          <t>Modal đóng; node xuất hiện ở bảng; toast “Đã thêm máy chủ …”</t>
        </is>
      </c>
      <c r="J215" s="10" t="inlineStr">
        <is>
          <t>Functional</t>
        </is>
      </c>
      <c r="K215" s="10" t="inlineStr">
        <is>
          <t>P1 - Cao</t>
        </is>
      </c>
      <c r="L215" s="10" t="inlineStr">
        <is>
          <t>UC-INV-01</t>
        </is>
      </c>
      <c r="M215" s="11" t="inlineStr">
        <is>
          <t>Chưa chạy</t>
        </is>
      </c>
      <c r="N215" s="11" t="inlineStr"/>
      <c r="O215" s="11" t="inlineStr"/>
      <c r="P215" s="11" t="inlineStr"/>
    </row>
    <row r="216">
      <c r="A216" s="10" t="n">
        <v>215</v>
      </c>
      <c r="B216" s="10" t="inlineStr">
        <is>
          <t>TC-INV-E2E-009</t>
        </is>
      </c>
      <c r="C216" s="10" t="inlineStr">
        <is>
          <t>Inventory</t>
        </is>
      </c>
      <c r="D216" s="10" t="inlineStr">
        <is>
          <t>E2E (UI) — Frontend</t>
        </is>
      </c>
      <c r="E216" s="10" t="inlineStr">
        <is>
          <t>Sửa node không đổi mật khẩu</t>
        </is>
      </c>
      <c r="F216" s="10" t="inlineStr">
        <is>
          <t>Node có credential</t>
        </is>
      </c>
      <c r="G216" s="10" t="inlineStr">
        <is>
          <t>Mở modal sửa, đổi tên, Lưu</t>
        </is>
      </c>
      <c r="H216" s="10" t="inlineStr">
        <is>
          <t>—</t>
        </is>
      </c>
      <c r="I216" s="10" t="inlineStr">
        <is>
          <t>Ô mật khẩu hiển thị `••••••••`; request không chứa trường password; tên cập nhật</t>
        </is>
      </c>
      <c r="J216" s="10" t="inlineStr">
        <is>
          <t>Security</t>
        </is>
      </c>
      <c r="K216" s="10" t="inlineStr">
        <is>
          <t>P1 - Cao</t>
        </is>
      </c>
      <c r="L216" s="10" t="inlineStr">
        <is>
          <t>FR-INV-FE-003</t>
        </is>
      </c>
      <c r="M216" s="11" t="inlineStr">
        <is>
          <t>Chưa chạy</t>
        </is>
      </c>
      <c r="N216" s="11" t="inlineStr"/>
      <c r="O216" s="11" t="inlineStr"/>
      <c r="P216" s="11" t="inlineStr"/>
    </row>
    <row r="217">
      <c r="A217" s="10" t="n">
        <v>216</v>
      </c>
      <c r="B217" s="10" t="inlineStr">
        <is>
          <t>TC-INV-E2E-010</t>
        </is>
      </c>
      <c r="C217" s="10" t="inlineStr">
        <is>
          <t>Inventory</t>
        </is>
      </c>
      <c r="D217" s="10" t="inlineStr">
        <is>
          <t>E2E (UI) — Frontend</t>
        </is>
      </c>
      <c r="E217" s="10" t="inlineStr">
        <is>
          <t>Gạt công tắc giám sát</t>
        </is>
      </c>
      <c r="F217" s="10" t="inlineStr">
        <is>
          <t>OPERATOR</t>
        </is>
      </c>
      <c r="G217" s="10" t="inlineStr">
        <is>
          <t>Gạt tắt</t>
        </is>
      </c>
      <c r="H217" s="10" t="inlineStr">
        <is>
          <t>—</t>
        </is>
      </c>
      <c r="I217" s="10" t="inlineStr">
        <is>
          <t>Cập nhật optimistic; chỉ số chuyển “Đang tắt”; toast; API lỗi thì rollback</t>
        </is>
      </c>
      <c r="J217" s="10" t="inlineStr">
        <is>
          <t>Functional</t>
        </is>
      </c>
      <c r="K217" s="10" t="inlineStr">
        <is>
          <t>P1 - Cao</t>
        </is>
      </c>
      <c r="L217" s="10" t="inlineStr">
        <is>
          <t>FR-INV-FE-008</t>
        </is>
      </c>
      <c r="M217" s="11" t="inlineStr">
        <is>
          <t>Chưa chạy</t>
        </is>
      </c>
      <c r="N217" s="11" t="inlineStr"/>
      <c r="O217" s="11" t="inlineStr"/>
      <c r="P217" s="11" t="inlineStr"/>
    </row>
    <row r="218">
      <c r="A218" s="10" t="n">
        <v>217</v>
      </c>
      <c r="B218" s="10" t="inlineStr">
        <is>
          <t>TC-INV-E2E-011</t>
        </is>
      </c>
      <c r="C218" s="10" t="inlineStr">
        <is>
          <t>Inventory</t>
        </is>
      </c>
      <c r="D218" s="10" t="inlineStr">
        <is>
          <t>E2E (UI) — Frontend</t>
        </is>
      </c>
      <c r="E218" s="10" t="inlineStr">
        <is>
          <t>Xác nhận xóa node</t>
        </is>
      </c>
      <c r="F218" s="10" t="inlineStr">
        <is>
          <t>ADMIN</t>
        </is>
      </c>
      <c r="G218" s="10" t="inlineStr">
        <is>
          <t>Bấm biểu tượng thùng rác</t>
        </is>
      </c>
      <c r="H218" s="10" t="inlineStr">
        <is>
          <t>—</t>
        </is>
      </c>
      <c r="I218" s="10" t="inlineStr">
        <is>
          <t>Hộp thoại nêu tên node + hệ quả, nút Xóa màu đỏ, Hủy đóng không thay đổi</t>
        </is>
      </c>
      <c r="J218" s="10" t="inlineStr">
        <is>
          <t>UI/UX</t>
        </is>
      </c>
      <c r="K218" s="10" t="inlineStr">
        <is>
          <t>P1 - Cao</t>
        </is>
      </c>
      <c r="L218" s="10" t="inlineStr">
        <is>
          <t>FR-INV-FE-007</t>
        </is>
      </c>
      <c r="M218" s="11" t="inlineStr">
        <is>
          <t>Chưa chạy</t>
        </is>
      </c>
      <c r="N218" s="11" t="inlineStr"/>
      <c r="O218" s="11" t="inlineStr"/>
      <c r="P218" s="11" t="inlineStr"/>
    </row>
    <row r="219">
      <c r="A219" s="10" t="n">
        <v>218</v>
      </c>
      <c r="B219" s="10" t="inlineStr">
        <is>
          <t>TC-INV-E2E-012</t>
        </is>
      </c>
      <c r="C219" s="10" t="inlineStr">
        <is>
          <t>Inventory</t>
        </is>
      </c>
      <c r="D219" s="10" t="inlineStr">
        <is>
          <t>E2E (UI) — Frontend</t>
        </is>
      </c>
      <c r="E219" s="10" t="inlineStr">
        <is>
          <t>Xóa node thành công</t>
        </is>
      </c>
      <c r="F219" s="10" t="inlineStr">
        <is>
          <t>Hộp thoại mở</t>
        </is>
      </c>
      <c r="G219" s="10" t="inlineStr">
        <is>
          <t>Bấm Xóa</t>
        </is>
      </c>
      <c r="H219" s="10" t="inlineStr">
        <is>
          <t>—</t>
        </is>
      </c>
      <c r="I219" s="10" t="inlineStr">
        <is>
          <t>Hàng biến mất, toast, danh sách không cần tải lại thủ công</t>
        </is>
      </c>
      <c r="J219" s="10" t="inlineStr">
        <is>
          <t>Functional</t>
        </is>
      </c>
      <c r="K219" s="10" t="inlineStr">
        <is>
          <t>P1 - Cao</t>
        </is>
      </c>
      <c r="L219" s="10" t="inlineStr">
        <is>
          <t>UC-INV-04</t>
        </is>
      </c>
      <c r="M219" s="11" t="inlineStr">
        <is>
          <t>Chưa chạy</t>
        </is>
      </c>
      <c r="N219" s="11" t="inlineStr"/>
      <c r="O219" s="11" t="inlineStr"/>
      <c r="P219" s="11" t="inlineStr"/>
    </row>
    <row r="220">
      <c r="A220" s="10" t="n">
        <v>219</v>
      </c>
      <c r="B220" s="10" t="inlineStr">
        <is>
          <t>TC-INV-E2E-013</t>
        </is>
      </c>
      <c r="C220" s="10" t="inlineStr">
        <is>
          <t>Inventory</t>
        </is>
      </c>
      <c r="D220" s="10" t="inlineStr">
        <is>
          <t>E2E (UI) — Frontend</t>
        </is>
      </c>
      <c r="E220" s="10" t="inlineStr">
        <is>
          <t>Cảnh báo host key đổi</t>
        </is>
      </c>
      <c r="F220" s="10" t="inlineStr">
        <is>
          <t>Node có sự cố host key</t>
        </is>
      </c>
      <c r="G220" s="10" t="inlineStr">
        <is>
          <t>Mở trang node</t>
        </is>
      </c>
      <c r="H220" s="10" t="inlineStr">
        <is>
          <t>—</t>
        </is>
      </c>
      <c r="I220" s="10" t="inlineStr">
        <is>
          <t>Cảnh báo đỏ giải thích rủi ro; xác nhận ghim lại yêu cầu gõ đúng tên node</t>
        </is>
      </c>
      <c r="J220" s="10" t="inlineStr">
        <is>
          <t>Security</t>
        </is>
      </c>
      <c r="K220" s="10" t="inlineStr">
        <is>
          <t>P1 - Cao</t>
        </is>
      </c>
      <c r="L220" s="10" t="inlineStr">
        <is>
          <t>FR-INV-FE-006</t>
        </is>
      </c>
      <c r="M220" s="11" t="inlineStr">
        <is>
          <t>Chưa chạy</t>
        </is>
      </c>
      <c r="N220" s="11" t="inlineStr"/>
      <c r="O220" s="11" t="inlineStr"/>
      <c r="P220" s="11" t="inlineStr"/>
    </row>
    <row r="221">
      <c r="A221" s="10" t="n">
        <v>220</v>
      </c>
      <c r="B221" s="10" t="inlineStr">
        <is>
          <t>TC-INV-E2E-014</t>
        </is>
      </c>
      <c r="C221" s="10" t="inlineStr">
        <is>
          <t>Inventory</t>
        </is>
      </c>
      <c r="D221" s="10" t="inlineStr">
        <is>
          <t>E2E (UI) — Frontend</t>
        </is>
      </c>
      <c r="E221" s="10" t="inlineStr">
        <is>
          <t>Quyền hiển thị</t>
        </is>
      </c>
      <c r="F221" s="10" t="inlineStr">
        <is>
          <t>Đăng nhập VIEWER</t>
        </is>
      </c>
      <c r="G221" s="10" t="inlineStr">
        <is>
          <t>Mở `/app/nodes`</t>
        </is>
      </c>
      <c r="H221" s="10" t="inlineStr">
        <is>
          <t>—</t>
        </is>
      </c>
      <c r="I221" s="10" t="inlineStr">
        <is>
          <t>Không thấy nút Thêm/Sửa/Xóa và công tắc</t>
        </is>
      </c>
      <c r="J221" s="10" t="inlineStr">
        <is>
          <t>Security</t>
        </is>
      </c>
      <c r="K221" s="10" t="inlineStr">
        <is>
          <t>P1 - Cao</t>
        </is>
      </c>
      <c r="L221" s="10" t="inlineStr">
        <is>
          <t>FR-INV-FE-009</t>
        </is>
      </c>
      <c r="M221" s="11" t="inlineStr">
        <is>
          <t>Chưa chạy</t>
        </is>
      </c>
      <c r="N221" s="11" t="inlineStr"/>
      <c r="O221" s="11" t="inlineStr"/>
      <c r="P221" s="11" t="inlineStr"/>
    </row>
    <row r="222">
      <c r="A222" s="10" t="n">
        <v>221</v>
      </c>
      <c r="B222" s="10" t="inlineStr">
        <is>
          <t>TC-INV-E2E-015</t>
        </is>
      </c>
      <c r="C222" s="10" t="inlineStr">
        <is>
          <t>Inventory</t>
        </is>
      </c>
      <c r="D222" s="10" t="inlineStr">
        <is>
          <t>E2E (UI) — Frontend</t>
        </is>
      </c>
      <c r="E222" s="10" t="inlineStr">
        <is>
          <t>Tìm kiếm có debounce</t>
        </is>
      </c>
      <c r="F222" s="10" t="inlineStr">
        <is>
          <t>≥ 100 node</t>
        </is>
      </c>
      <c r="G222" s="10" t="inlineStr">
        <is>
          <t>Gõ nhanh 8 ký tự</t>
        </is>
      </c>
      <c r="H222" s="10" t="inlineStr">
        <is>
          <t>—</t>
        </is>
      </c>
      <c r="I222" s="10" t="inlineStr">
        <is>
          <t>Chỉ ~1 request được gửi sau khi ngừng gõ 300 ms</t>
        </is>
      </c>
      <c r="J222" s="10" t="inlineStr">
        <is>
          <t>Performance</t>
        </is>
      </c>
      <c r="K222" s="10" t="inlineStr">
        <is>
          <t>P2 - Trung bình</t>
        </is>
      </c>
      <c r="L222" s="10" t="inlineStr">
        <is>
          <t>FR-INV-FE-002</t>
        </is>
      </c>
      <c r="M222" s="11" t="inlineStr">
        <is>
          <t>Chưa chạy</t>
        </is>
      </c>
      <c r="N222" s="11" t="inlineStr"/>
      <c r="O222" s="11" t="inlineStr"/>
      <c r="P222" s="11" t="inlineStr"/>
    </row>
    <row r="223">
      <c r="A223" s="10" t="n">
        <v>222</v>
      </c>
      <c r="B223" s="10" t="inlineStr">
        <is>
          <t>TC-INV-E2E-016</t>
        </is>
      </c>
      <c r="C223" s="10" t="inlineStr">
        <is>
          <t>Inventory</t>
        </is>
      </c>
      <c r="D223" s="10" t="inlineStr">
        <is>
          <t>E2E (UI) — Frontend</t>
        </is>
      </c>
      <c r="E223" s="10" t="inlineStr">
        <is>
          <t>Bộ lọc lưu trong URL</t>
        </is>
      </c>
      <c r="F223" s="10" t="inlineStr">
        <is>
          <t>Đang lọc</t>
        </is>
      </c>
      <c r="G223" s="10" t="inlineStr">
        <is>
          <t>Sao chép URL, mở tab mới</t>
        </is>
      </c>
      <c r="H223" s="10" t="inlineStr">
        <is>
          <t>—</t>
        </is>
      </c>
      <c r="I223" s="10" t="inlineStr">
        <is>
          <t>Bộ lọc được khôi phục nguyên trạng</t>
        </is>
      </c>
      <c r="J223" s="10" t="inlineStr">
        <is>
          <t>UI/UX</t>
        </is>
      </c>
      <c r="K223" s="10" t="inlineStr">
        <is>
          <t>P3 - Thấp</t>
        </is>
      </c>
      <c r="L223" s="10" t="inlineStr">
        <is>
          <t>FR-INV-FE-002</t>
        </is>
      </c>
      <c r="M223" s="11" t="inlineStr">
        <is>
          <t>Chưa chạy</t>
        </is>
      </c>
      <c r="N223" s="11" t="inlineStr"/>
      <c r="O223" s="11" t="inlineStr"/>
      <c r="P223" s="11" t="inlineStr"/>
    </row>
    <row r="224">
      <c r="A224" s="10" t="n">
        <v>223</v>
      </c>
      <c r="B224" s="10" t="inlineStr">
        <is>
          <t>TC-INV-E2E-017</t>
        </is>
      </c>
      <c r="C224" s="10" t="inlineStr">
        <is>
          <t>Inventory</t>
        </is>
      </c>
      <c r="D224" s="10" t="inlineStr">
        <is>
          <t>E2E (UI) — Frontend</t>
        </is>
      </c>
      <c r="E224" s="10" t="inlineStr">
        <is>
          <t>Virtualization bảng lớn</t>
        </is>
      </c>
      <c r="F224" s="10" t="inlineStr">
        <is>
          <t>1.000 node</t>
        </is>
      </c>
      <c r="G224" s="10" t="inlineStr">
        <is>
          <t>Cuộn bảng</t>
        </is>
      </c>
      <c r="H224" s="10" t="inlineStr">
        <is>
          <t>—</t>
        </is>
      </c>
      <c r="I224" s="10" t="inlineStr">
        <is>
          <t>DOM chỉ giữ ~30–50 hàng; cuộn mượt ≥ 50 fps</t>
        </is>
      </c>
      <c r="J224" s="10" t="inlineStr">
        <is>
          <t>Performance</t>
        </is>
      </c>
      <c r="K224" s="10" t="inlineStr">
        <is>
          <t>P2 - Trung bình</t>
        </is>
      </c>
      <c r="L224" s="10" t="inlineStr">
        <is>
          <t>NFR-PERF-024</t>
        </is>
      </c>
      <c r="M224" s="11" t="inlineStr">
        <is>
          <t>Chưa chạy</t>
        </is>
      </c>
      <c r="N224" s="11" t="inlineStr"/>
      <c r="O224" s="11" t="inlineStr"/>
      <c r="P224" s="11" t="inlineStr"/>
    </row>
    <row r="225">
      <c r="A225" s="10" t="n">
        <v>224</v>
      </c>
      <c r="B225" s="10" t="inlineStr">
        <is>
          <t>TC-MON-INT-001</t>
        </is>
      </c>
      <c r="C225" s="10" t="inlineStr">
        <is>
          <t>Monitoring</t>
        </is>
      </c>
      <c r="D225" s="10" t="inlineStr">
        <is>
          <t>Integration — Scheduler &amp; hàng đợi</t>
        </is>
      </c>
      <c r="E225" s="10" t="inlineStr">
        <is>
          <t>Phát lệnh quét theo chu kỳ</t>
        </is>
      </c>
      <c r="F225" s="10" t="inlineStr">
        <is>
          <t>5 node active, scheduler bật</t>
        </is>
      </c>
      <c r="G225" s="10" t="inlineStr">
        <is>
          <t>Chạy một chu kỳ</t>
        </is>
      </c>
      <c r="H225" s="10" t="inlineStr">
        <is>
          <t>interval 60s (test)</t>
        </is>
      </c>
      <c r="I225" s="10" t="inlineStr">
        <is>
          <t>Đúng 5 `CheckNodeV1` trên queue `monitoring.commands.check-node`, mỗi node một message</t>
        </is>
      </c>
      <c r="J225" s="10" t="inlineStr">
        <is>
          <t>Functional</t>
        </is>
      </c>
      <c r="K225" s="10" t="inlineStr">
        <is>
          <t>P1 - Cao</t>
        </is>
      </c>
      <c r="L225" s="10" t="inlineStr">
        <is>
          <t>FR-MON-002</t>
        </is>
      </c>
      <c r="M225" s="11" t="inlineStr">
        <is>
          <t>Chưa chạy</t>
        </is>
      </c>
      <c r="N225" s="11" t="inlineStr"/>
      <c r="O225" s="11" t="inlineStr"/>
      <c r="P225" s="11" t="inlineStr"/>
    </row>
    <row r="226">
      <c r="A226" s="10" t="n">
        <v>225</v>
      </c>
      <c r="B226" s="10" t="inlineStr">
        <is>
          <t>TC-MON-INT-002</t>
        </is>
      </c>
      <c r="C226" s="10" t="inlineStr">
        <is>
          <t>Monitoring</t>
        </is>
      </c>
      <c r="D226" s="10" t="inlineStr">
        <is>
          <t>Integration — Scheduler &amp; hàng đợi</t>
        </is>
      </c>
      <c r="E226" s="10" t="inlineStr">
        <is>
          <t>Không quét node đã tắt</t>
        </is>
      </c>
      <c r="F226" s="10" t="inlineStr">
        <is>
          <t>3 active + 2 inactive</t>
        </is>
      </c>
      <c r="G226" s="10" t="inlineStr">
        <is>
          <t>Chạy chu kỳ</t>
        </is>
      </c>
      <c r="H226" s="10" t="inlineStr">
        <is>
          <t>—</t>
        </is>
      </c>
      <c r="I226" s="10" t="inlineStr">
        <is>
          <t>Chỉ 3 message được phát</t>
        </is>
      </c>
      <c r="J226" s="10" t="inlineStr">
        <is>
          <t>Functional</t>
        </is>
      </c>
      <c r="K226" s="10" t="inlineStr">
        <is>
          <t>P1 - Cao</t>
        </is>
      </c>
      <c r="L226" s="10" t="inlineStr">
        <is>
          <t>FR-MON-002</t>
        </is>
      </c>
      <c r="M226" s="11" t="inlineStr">
        <is>
          <t>Chưa chạy</t>
        </is>
      </c>
      <c r="N226" s="11" t="inlineStr"/>
      <c r="O226" s="11" t="inlineStr"/>
      <c r="P226" s="11" t="inlineStr"/>
    </row>
    <row r="227">
      <c r="A227" s="10" t="n">
        <v>226</v>
      </c>
      <c r="B227" s="10" t="inlineStr">
        <is>
          <t>TC-MON-INT-003</t>
        </is>
      </c>
      <c r="C227" s="10" t="inlineStr">
        <is>
          <t>Monitoring</t>
        </is>
      </c>
      <c r="D227" s="10" t="inlineStr">
        <is>
          <t>Integration — Scheduler &amp; hàng đợi</t>
        </is>
      </c>
      <c r="E227" s="10" t="inlineStr">
        <is>
          <t>Hai instance scheduler không quét trùng</t>
        </is>
      </c>
      <c r="F227" s="10" t="inlineStr">
        <is>
          <t>2 replica chạy đồng thời</t>
        </is>
      </c>
      <c r="G227" s="10" t="inlineStr">
        <is>
          <t>Chạy 3 chu kỳ</t>
        </is>
      </c>
      <c r="H227" s="10" t="inlineStr">
        <is>
          <t>—</t>
        </is>
      </c>
      <c r="I227" s="10" t="inlineStr">
        <is>
          <t>Mỗi chu kỳ mỗi node đúng 1 message (Quartz cluster lock)</t>
        </is>
      </c>
      <c r="J227" s="10" t="inlineStr">
        <is>
          <t>Reliability</t>
        </is>
      </c>
      <c r="K227" s="10" t="inlineStr">
        <is>
          <t>P1 - Cao</t>
        </is>
      </c>
      <c r="L227" s="10" t="inlineStr">
        <is>
          <t>FR-MON-004, NFR-AVL-006</t>
        </is>
      </c>
      <c r="M227" s="11" t="inlineStr">
        <is>
          <t>Chưa chạy</t>
        </is>
      </c>
      <c r="N227" s="11" t="inlineStr"/>
      <c r="O227" s="11" t="inlineStr"/>
      <c r="P227" s="11" t="inlineStr"/>
    </row>
    <row r="228">
      <c r="A228" s="10" t="n">
        <v>227</v>
      </c>
      <c r="B228" s="10" t="inlineStr">
        <is>
          <t>TC-MON-INT-004</t>
        </is>
      </c>
      <c r="C228" s="10" t="inlineStr">
        <is>
          <t>Monitoring</t>
        </is>
      </c>
      <c r="D228" s="10" t="inlineStr">
        <is>
          <t>Integration — Scheduler &amp; hàng đợi</t>
        </is>
      </c>
      <c r="E228" s="10" t="inlineStr">
        <is>
          <t>Chu kỳ riêng của node</t>
        </is>
      </c>
      <c r="F228" s="10" t="inlineStr">
        <is>
          <t>Node A interval 60s, node B 300s</t>
        </is>
      </c>
      <c r="G228" s="10" t="inlineStr">
        <is>
          <t>Chạy 5 phút</t>
        </is>
      </c>
      <c r="H228" s="10" t="inlineStr">
        <is>
          <t>—</t>
        </is>
      </c>
      <c r="I228" s="10" t="inlineStr">
        <is>
          <t>A được quét 5 lần, B 1 lần</t>
        </is>
      </c>
      <c r="J228" s="10" t="inlineStr">
        <is>
          <t>Functional</t>
        </is>
      </c>
      <c r="K228" s="10" t="inlineStr">
        <is>
          <t>P2 - Trung bình</t>
        </is>
      </c>
      <c r="L228" s="10" t="inlineStr">
        <is>
          <t>FR-MON-003</t>
        </is>
      </c>
      <c r="M228" s="11" t="inlineStr">
        <is>
          <t>Chưa chạy</t>
        </is>
      </c>
      <c r="N228" s="11" t="inlineStr"/>
      <c r="O228" s="11" t="inlineStr"/>
      <c r="P228" s="11" t="inlineStr"/>
    </row>
    <row r="229">
      <c r="A229" s="10" t="n">
        <v>228</v>
      </c>
      <c r="B229" s="10" t="inlineStr">
        <is>
          <t>TC-MON-INT-005</t>
        </is>
      </c>
      <c r="C229" s="10" t="inlineStr">
        <is>
          <t>Monitoring</t>
        </is>
      </c>
      <c r="D229" s="10" t="inlineStr">
        <is>
          <t>Integration — Scheduler &amp; hàng đợi</t>
        </is>
      </c>
      <c r="E229" s="10" t="inlineStr">
        <is>
          <t>Message chứa đúng metric được bật</t>
        </is>
      </c>
      <c r="F229" s="10" t="inlineStr">
        <is>
          <t>Node tắt CPU</t>
        </is>
      </c>
      <c r="G229" s="10" t="inlineStr">
        <is>
          <t>Chạy chu kỳ</t>
        </is>
      </c>
      <c r="H229" s="10" t="inlineStr">
        <is>
          <t>—</t>
        </is>
      </c>
      <c r="I229" s="10" t="inlineStr">
        <is>
          <t>`metrics = ["memory","disk"]`</t>
        </is>
      </c>
      <c r="J229" s="10" t="inlineStr">
        <is>
          <t>Functional</t>
        </is>
      </c>
      <c r="K229" s="10" t="inlineStr">
        <is>
          <t>P2 - Trung bình</t>
        </is>
      </c>
      <c r="L229" s="10" t="inlineStr">
        <is>
          <t>FR-MON-006</t>
        </is>
      </c>
      <c r="M229" s="11" t="inlineStr">
        <is>
          <t>Chưa chạy</t>
        </is>
      </c>
      <c r="N229" s="11" t="inlineStr"/>
      <c r="O229" s="11" t="inlineStr"/>
      <c r="P229" s="11" t="inlineStr"/>
    </row>
    <row r="230">
      <c r="A230" s="10" t="n">
        <v>229</v>
      </c>
      <c r="B230" s="10" t="inlineStr">
        <is>
          <t>TC-MON-INT-006</t>
        </is>
      </c>
      <c r="C230" s="10" t="inlineStr">
        <is>
          <t>Monitoring</t>
        </is>
      </c>
      <c r="D230" s="10" t="inlineStr">
        <is>
          <t>Integration — Scheduler &amp; hàng đợi</t>
        </is>
      </c>
      <c r="E230" s="10" t="inlineStr">
        <is>
          <t>Message quá hạn bị bỏ qua</t>
        </is>
      </c>
      <c r="F230" s="10" t="inlineStr">
        <is>
          <t>Message tạo cách đây 400s, TTL 300s</t>
        </is>
      </c>
      <c r="G230" s="10" t="inlineStr">
        <is>
          <t>Worker nhận</t>
        </is>
      </c>
      <c r="H230" s="10" t="inlineStr">
        <is>
          <t>—</t>
        </is>
      </c>
      <c r="I230" s="10" t="inlineStr">
        <is>
          <t>Bỏ qua, không SSH, ghi log Information</t>
        </is>
      </c>
      <c r="J230" s="10" t="inlineStr">
        <is>
          <t>Reliability</t>
        </is>
      </c>
      <c r="K230" s="10" t="inlineStr">
        <is>
          <t>P2 - Trung bình</t>
        </is>
      </c>
      <c r="L230" s="10" t="inlineStr">
        <is>
          <t>FR-MON-016</t>
        </is>
      </c>
      <c r="M230" s="11" t="inlineStr">
        <is>
          <t>Chưa chạy</t>
        </is>
      </c>
      <c r="N230" s="11" t="inlineStr"/>
      <c r="O230" s="11" t="inlineStr"/>
      <c r="P230" s="11" t="inlineStr"/>
    </row>
    <row r="231">
      <c r="A231" s="10" t="n">
        <v>230</v>
      </c>
      <c r="B231" s="10" t="inlineStr">
        <is>
          <t>TC-MON-INT-007</t>
        </is>
      </c>
      <c r="C231" s="10" t="inlineStr">
        <is>
          <t>Monitoring</t>
        </is>
      </c>
      <c r="D231" s="10" t="inlineStr">
        <is>
          <t>Integration — Scheduler &amp; hàng đợi</t>
        </is>
      </c>
      <c r="E231" s="10" t="inlineStr">
        <is>
          <t>Đồng bộ read model khi tạo node</t>
        </is>
      </c>
      <c r="F231" s="10" t="inlineStr">
        <is>
          <t>Bus chạy</t>
        </is>
      </c>
      <c r="G231" s="10" t="inlineStr">
        <is>
          <t>Phát `NodeCreatedV1`</t>
        </is>
      </c>
      <c r="H231" s="10" t="inlineStr">
        <is>
          <t>—</t>
        </is>
      </c>
      <c r="I231" s="10" t="inlineStr">
        <is>
          <t>`MonitoredNodes` có bản ghi mới; node được quét ở chu kỳ kế tiếp</t>
        </is>
      </c>
      <c r="J231" s="10" t="inlineStr">
        <is>
          <t>Integration</t>
        </is>
      </c>
      <c r="K231" s="10" t="inlineStr">
        <is>
          <t>P1 - Cao</t>
        </is>
      </c>
      <c r="L231" s="10" t="inlineStr">
        <is>
          <t>FR-MON-001</t>
        </is>
      </c>
      <c r="M231" s="11" t="inlineStr">
        <is>
          <t>Chưa chạy</t>
        </is>
      </c>
      <c r="N231" s="11" t="inlineStr"/>
      <c r="O231" s="11" t="inlineStr"/>
      <c r="P231" s="11" t="inlineStr"/>
    </row>
    <row r="232">
      <c r="A232" s="10" t="n">
        <v>231</v>
      </c>
      <c r="B232" s="10" t="inlineStr">
        <is>
          <t>TC-MON-INT-008</t>
        </is>
      </c>
      <c r="C232" s="10" t="inlineStr">
        <is>
          <t>Monitoring</t>
        </is>
      </c>
      <c r="D232" s="10" t="inlineStr">
        <is>
          <t>Integration — Scheduler &amp; hàng đợi</t>
        </is>
      </c>
      <c r="E232" s="10" t="inlineStr">
        <is>
          <t>Đồng bộ khi xóa node</t>
        </is>
      </c>
      <c r="F232" s="10" t="inlineStr">
        <is>
          <t>Node có trong read model</t>
        </is>
      </c>
      <c r="G232" s="10" t="inlineStr">
        <is>
          <t>Phát `NodeDeletedV1`</t>
        </is>
      </c>
      <c r="H232" s="10" t="inlineStr">
        <is>
          <t>—</t>
        </is>
      </c>
      <c r="I232" s="10" t="inlineStr">
        <is>
          <t>Node bị loại khỏi lịch, không còn message quét</t>
        </is>
      </c>
      <c r="J232" s="10" t="inlineStr">
        <is>
          <t>Integration</t>
        </is>
      </c>
      <c r="K232" s="10" t="inlineStr">
        <is>
          <t>P1 - Cao</t>
        </is>
      </c>
      <c r="L232" s="10" t="inlineStr">
        <is>
          <t>FR-MON-001</t>
        </is>
      </c>
      <c r="M232" s="11" t="inlineStr">
        <is>
          <t>Chưa chạy</t>
        </is>
      </c>
      <c r="N232" s="11" t="inlineStr"/>
      <c r="O232" s="11" t="inlineStr"/>
      <c r="P232" s="11" t="inlineStr"/>
    </row>
    <row r="233">
      <c r="A233" s="10" t="n">
        <v>232</v>
      </c>
      <c r="B233" s="10" t="inlineStr">
        <is>
          <t>TC-MON-INT-009</t>
        </is>
      </c>
      <c r="C233" s="10" t="inlineStr">
        <is>
          <t>Monitoring</t>
        </is>
      </c>
      <c r="D233" s="10" t="inlineStr">
        <is>
          <t>Integration — Scheduler &amp; hàng đợi</t>
        </is>
      </c>
      <c r="E233" s="10" t="inlineStr">
        <is>
          <t>Tắt scheduler</t>
        </is>
      </c>
      <c r="F233" s="10" t="inlineStr">
        <is>
          <t>Scheduler đang bật</t>
        </is>
      </c>
      <c r="G233" s="10" t="inlineStr">
        <is>
          <t>`PUT /system-config/scheduler {enabled:false}`, chờ 2 chu kỳ</t>
        </is>
      </c>
      <c r="H233" s="10" t="inlineStr">
        <is>
          <t>—</t>
        </is>
      </c>
      <c r="I233" s="10" t="inlineStr">
        <is>
          <t>Không có message nào được phát; audit `SCHEDULER_TOGGLED`</t>
        </is>
      </c>
      <c r="J233" s="10" t="inlineStr">
        <is>
          <t>Functional</t>
        </is>
      </c>
      <c r="K233" s="10" t="inlineStr">
        <is>
          <t>P1 - Cao</t>
        </is>
      </c>
      <c r="L233" s="10" t="inlineStr">
        <is>
          <t>FR-MON-013</t>
        </is>
      </c>
      <c r="M233" s="11" t="inlineStr">
        <is>
          <t>Chưa chạy</t>
        </is>
      </c>
      <c r="N233" s="11" t="inlineStr"/>
      <c r="O233" s="11" t="inlineStr"/>
      <c r="P233" s="11" t="inlineStr"/>
    </row>
    <row r="234">
      <c r="A234" s="10" t="n">
        <v>233</v>
      </c>
      <c r="B234" s="10" t="inlineStr">
        <is>
          <t>TC-MON-INT-010</t>
        </is>
      </c>
      <c r="C234" s="10" t="inlineStr">
        <is>
          <t>Monitoring</t>
        </is>
      </c>
      <c r="D234" s="10" t="inlineStr">
        <is>
          <t>Integration — Scheduler &amp; hàng đợi</t>
        </is>
      </c>
      <c r="E234" s="10" t="inlineStr">
        <is>
          <t>Đổi chu kỳ không cần restart</t>
        </is>
      </c>
      <c r="F234" s="10" t="inlineStr">
        <is>
          <t>interval 300s</t>
        </is>
      </c>
      <c r="G234" s="10" t="inlineStr">
        <is>
          <t>Đổi thành 60s</t>
        </is>
      </c>
      <c r="H234" s="10" t="inlineStr">
        <is>
          <t>—</t>
        </is>
      </c>
      <c r="I234" s="10" t="inlineStr">
        <is>
          <t>Chu kỳ kế tiếp áp dụng ngay giá trị mới</t>
        </is>
      </c>
      <c r="J234" s="10" t="inlineStr">
        <is>
          <t>Functional</t>
        </is>
      </c>
      <c r="K234" s="10" t="inlineStr">
        <is>
          <t>P1 - Cao</t>
        </is>
      </c>
      <c r="L234" s="10" t="inlineStr">
        <is>
          <t>FR-GW-027</t>
        </is>
      </c>
      <c r="M234" s="11" t="inlineStr">
        <is>
          <t>Chưa chạy</t>
        </is>
      </c>
      <c r="N234" s="11" t="inlineStr"/>
      <c r="O234" s="11" t="inlineStr"/>
      <c r="P234" s="11" t="inlineStr"/>
    </row>
    <row r="235">
      <c r="A235" s="10" t="n">
        <v>234</v>
      </c>
      <c r="B235" s="10" t="inlineStr">
        <is>
          <t>TC-MON-INT-011</t>
        </is>
      </c>
      <c r="C235" s="10" t="inlineStr">
        <is>
          <t>Monitoring</t>
        </is>
      </c>
      <c r="D235" s="10" t="inlineStr">
        <is>
          <t>Integration — Scheduler &amp; hàng đợi</t>
        </is>
      </c>
      <c r="E235" s="10" t="inlineStr">
        <is>
          <t>RabbitMQ tạm ngừng</t>
        </is>
      </c>
      <c r="F235" s="10" t="inlineStr">
        <is>
          <t>Broker dừng 2 phút</t>
        </is>
      </c>
      <c r="G235" s="10" t="inlineStr">
        <is>
          <t>Chạy chu kỳ rồi bật lại broker</t>
        </is>
      </c>
      <c r="H235" s="10" t="inlineStr">
        <is>
          <t>—</t>
        </is>
      </c>
      <c r="I235" s="10" t="inlineStr">
        <is>
          <t>Message nằm trong outbox và được phát khi broker trở lại; không mất lệnh quét</t>
        </is>
      </c>
      <c r="J235" s="10" t="inlineStr">
        <is>
          <t>Reliability</t>
        </is>
      </c>
      <c r="K235" s="10" t="inlineStr">
        <is>
          <t>P1 - Cao</t>
        </is>
      </c>
      <c r="L235" s="10" t="inlineStr">
        <is>
          <t>NFR-AVL-004</t>
        </is>
      </c>
      <c r="M235" s="11" t="inlineStr">
        <is>
          <t>Chưa chạy</t>
        </is>
      </c>
      <c r="N235" s="11" t="inlineStr"/>
      <c r="O235" s="11" t="inlineStr"/>
      <c r="P235" s="11" t="inlineStr"/>
    </row>
    <row r="236">
      <c r="A236" s="10" t="n">
        <v>235</v>
      </c>
      <c r="B236" s="10" t="inlineStr">
        <is>
          <t>TC-MON-INT-012</t>
        </is>
      </c>
      <c r="C236" s="10" t="inlineStr">
        <is>
          <t>Monitoring</t>
        </is>
      </c>
      <c r="D236" s="10" t="inlineStr">
        <is>
          <t>Integration — Worker &amp; thu thập SSH</t>
        </is>
      </c>
      <c r="E236" s="10" t="inlineStr">
        <is>
          <t>Thu metric thành công</t>
        </is>
      </c>
      <c r="F236" s="10" t="inlineStr">
        <is>
          <t>`node-ok`</t>
        </is>
      </c>
      <c r="G236" s="10" t="inlineStr">
        <is>
          <t>Gửi `CheckNodeV1`</t>
        </is>
      </c>
      <c r="H236" s="10" t="inlineStr">
        <is>
          <t>—</t>
        </is>
      </c>
      <c r="I236" s="10" t="inlineStr">
        <is>
          <t>Phát `MetricCollectedV1` với cpu/memory/disk trong 0–100, `durationMs` &gt; 0; `CheckRuns.outcome = Success`</t>
        </is>
      </c>
      <c r="J236" s="10" t="inlineStr">
        <is>
          <t>Functional</t>
        </is>
      </c>
      <c r="K236" s="10" t="inlineStr">
        <is>
          <t>P1 - Cao</t>
        </is>
      </c>
      <c r="L236" s="10" t="inlineStr">
        <is>
          <t>FR-MON-006, 011</t>
        </is>
      </c>
      <c r="M236" s="11" t="inlineStr">
        <is>
          <t>Chưa chạy</t>
        </is>
      </c>
      <c r="N236" s="11" t="inlineStr"/>
      <c r="O236" s="11" t="inlineStr"/>
      <c r="P236" s="11" t="inlineStr"/>
    </row>
    <row r="237">
      <c r="A237" s="10" t="n">
        <v>236</v>
      </c>
      <c r="B237" s="10" t="inlineStr">
        <is>
          <t>TC-MON-INT-013</t>
        </is>
      </c>
      <c r="C237" s="10" t="inlineStr">
        <is>
          <t>Monitoring</t>
        </is>
      </c>
      <c r="D237" s="10" t="inlineStr">
        <is>
          <t>Integration — Worker &amp; thu thập SSH</t>
        </is>
      </c>
      <c r="E237" s="10" t="inlineStr">
        <is>
          <t>Worker lấy credential từ Inventory</t>
        </is>
      </c>
      <c r="F237" s="10" t="inlineStr">
        <is>
          <t>Inventory chạy</t>
        </is>
      </c>
      <c r="G237" s="10" t="inlineStr">
        <is>
          <t>Quét một node</t>
        </is>
      </c>
      <c r="H237" s="10" t="inlineStr">
        <is>
          <t>—</t>
        </is>
      </c>
      <c r="I237" s="10" t="inlineStr">
        <is>
          <t>Có đúng một lời gọi `/internal/nodes/{id}/credentials`; audit `CREDENTIAL_ACCESSED` có `checkId`</t>
        </is>
      </c>
      <c r="J237" s="10" t="inlineStr">
        <is>
          <t>Security</t>
        </is>
      </c>
      <c r="K237" s="10" t="inlineStr">
        <is>
          <t>P1 - Cao</t>
        </is>
      </c>
      <c r="L237" s="10" t="inlineStr">
        <is>
          <t>FR-MON-007</t>
        </is>
      </c>
      <c r="M237" s="11" t="inlineStr">
        <is>
          <t>Chưa chạy</t>
        </is>
      </c>
      <c r="N237" s="11" t="inlineStr"/>
      <c r="O237" s="11" t="inlineStr"/>
      <c r="P237" s="11" t="inlineStr"/>
    </row>
    <row r="238">
      <c r="A238" s="10" t="n">
        <v>237</v>
      </c>
      <c r="B238" s="10" t="inlineStr">
        <is>
          <t>TC-MON-INT-014</t>
        </is>
      </c>
      <c r="C238" s="10" t="inlineStr">
        <is>
          <t>Monitoring</t>
        </is>
      </c>
      <c r="D238" s="10" t="inlineStr">
        <is>
          <t>Integration — Worker &amp; thu thập SSH</t>
        </is>
      </c>
      <c r="E238" s="10" t="inlineStr">
        <is>
          <t>Credential không đi qua queue</t>
        </is>
      </c>
      <c r="F238" s="10" t="inlineStr">
        <is>
          <t>—</t>
        </is>
      </c>
      <c r="G238" s="10" t="inlineStr">
        <is>
          <t>Bắt message trên RabbitMQ</t>
        </is>
      </c>
      <c r="H238" s="10" t="inlineStr">
        <is>
          <t>—</t>
        </is>
      </c>
      <c r="I238" s="10" t="inlineStr">
        <is>
          <t>`CheckNodeV1` và `MetricCollectedV1` không chứa trường credential nào</t>
        </is>
      </c>
      <c r="J238" s="10" t="inlineStr">
        <is>
          <t>Security</t>
        </is>
      </c>
      <c r="K238" s="10" t="inlineStr">
        <is>
          <t>P1 - Cao</t>
        </is>
      </c>
      <c r="L238" s="10" t="inlineStr">
        <is>
          <t>ADR-04</t>
        </is>
      </c>
      <c r="M238" s="11" t="inlineStr">
        <is>
          <t>Chưa chạy</t>
        </is>
      </c>
      <c r="N238" s="11" t="inlineStr"/>
      <c r="O238" s="11" t="inlineStr"/>
      <c r="P238" s="11" t="inlineStr"/>
    </row>
    <row r="239">
      <c r="A239" s="10" t="n">
        <v>238</v>
      </c>
      <c r="B239" s="10" t="inlineStr">
        <is>
          <t>TC-MON-INT-015</t>
        </is>
      </c>
      <c r="C239" s="10" t="inlineStr">
        <is>
          <t>Monitoring</t>
        </is>
      </c>
      <c r="D239" s="10" t="inlineStr">
        <is>
          <t>Integration — Worker &amp; thu thập SSH</t>
        </is>
      </c>
      <c r="E239" s="10" t="inlineStr">
        <is>
          <t>Timeout kết nối</t>
        </is>
      </c>
      <c r="F239" s="10" t="inlineStr">
        <is>
          <t>`node-timeout`</t>
        </is>
      </c>
      <c r="G239" s="10" t="inlineStr">
        <is>
          <t>Gửi lệnh quét</t>
        </is>
      </c>
      <c r="H239" s="10" t="inlineStr">
        <is>
          <t>—</t>
        </is>
      </c>
      <c r="I239" s="10" t="inlineStr">
        <is>
          <t>Kết thúc ≈ 10 giây, `NodeUnreachableV1` với `failureKind=ConnectTimeout`</t>
        </is>
      </c>
      <c r="J239" s="10" t="inlineStr">
        <is>
          <t>Reliability</t>
        </is>
      </c>
      <c r="K239" s="10" t="inlineStr">
        <is>
          <t>P1 - Cao</t>
        </is>
      </c>
      <c r="L239" s="10" t="inlineStr">
        <is>
          <t>FR-MON-008</t>
        </is>
      </c>
      <c r="M239" s="11" t="inlineStr">
        <is>
          <t>Chưa chạy</t>
        </is>
      </c>
      <c r="N239" s="11" t="inlineStr"/>
      <c r="O239" s="11" t="inlineStr"/>
      <c r="P239" s="11" t="inlineStr"/>
    </row>
    <row r="240">
      <c r="A240" s="10" t="n">
        <v>239</v>
      </c>
      <c r="B240" s="10" t="inlineStr">
        <is>
          <t>TC-MON-INT-016</t>
        </is>
      </c>
      <c r="C240" s="10" t="inlineStr">
        <is>
          <t>Monitoring</t>
        </is>
      </c>
      <c r="D240" s="10" t="inlineStr">
        <is>
          <t>Integration — Worker &amp; thu thập SSH</t>
        </is>
      </c>
      <c r="E240" s="10" t="inlineStr">
        <is>
          <t>Timeout lệnh</t>
        </is>
      </c>
      <c r="F240" s="10" t="inlineStr">
        <is>
          <t>Máy chủ giả lập treo lệnh</t>
        </is>
      </c>
      <c r="G240" s="10" t="inlineStr">
        <is>
          <t>Gửi lệnh quét</t>
        </is>
      </c>
      <c r="H240" s="10" t="inlineStr">
        <is>
          <t>—</t>
        </is>
      </c>
      <c r="I240" s="10" t="inlineStr">
        <is>
          <t>Hủy sau 30 giây, `failureKind=CommandTimeout`; phiên SSH được đóng</t>
        </is>
      </c>
      <c r="J240" s="10" t="inlineStr">
        <is>
          <t>Reliability</t>
        </is>
      </c>
      <c r="K240" s="10" t="inlineStr">
        <is>
          <t>P1 - Cao</t>
        </is>
      </c>
      <c r="L240" s="10" t="inlineStr">
        <is>
          <t>FR-MON-008</t>
        </is>
      </c>
      <c r="M240" s="11" t="inlineStr">
        <is>
          <t>Chưa chạy</t>
        </is>
      </c>
      <c r="N240" s="11" t="inlineStr"/>
      <c r="O240" s="11" t="inlineStr"/>
      <c r="P240" s="11" t="inlineStr"/>
    </row>
    <row r="241">
      <c r="A241" s="10" t="n">
        <v>240</v>
      </c>
      <c r="B241" s="10" t="inlineStr">
        <is>
          <t>TC-MON-INT-017</t>
        </is>
      </c>
      <c r="C241" s="10" t="inlineStr">
        <is>
          <t>Monitoring</t>
        </is>
      </c>
      <c r="D241" s="10" t="inlineStr">
        <is>
          <t>Integration — Worker &amp; thu thập SSH</t>
        </is>
      </c>
      <c r="E241" s="10" t="inlineStr">
        <is>
          <t>Sai xác thực</t>
        </is>
      </c>
      <c r="F241" s="10" t="inlineStr">
        <is>
          <t>`node-authfail`</t>
        </is>
      </c>
      <c r="G241" s="10" t="inlineStr">
        <is>
          <t>Gửi lệnh quét</t>
        </is>
      </c>
      <c r="H241" s="10" t="inlineStr">
        <is>
          <t>—</t>
        </is>
      </c>
      <c r="I241" s="10" t="inlineStr">
        <is>
          <t>`failureKind=AuthFailed`; thông điệp lỗi không chứa mật khẩu</t>
        </is>
      </c>
      <c r="J241" s="10" t="inlineStr">
        <is>
          <t>Security</t>
        </is>
      </c>
      <c r="K241" s="10" t="inlineStr">
        <is>
          <t>P1 - Cao</t>
        </is>
      </c>
      <c r="L241" s="10" t="inlineStr">
        <is>
          <t>FR-MON-011</t>
        </is>
      </c>
      <c r="M241" s="11" t="inlineStr">
        <is>
          <t>Chưa chạy</t>
        </is>
      </c>
      <c r="N241" s="11" t="inlineStr"/>
      <c r="O241" s="11" t="inlineStr"/>
      <c r="P241" s="11" t="inlineStr"/>
    </row>
    <row r="242">
      <c r="A242" s="10" t="n">
        <v>241</v>
      </c>
      <c r="B242" s="10" t="inlineStr">
        <is>
          <t>TC-MON-INT-018</t>
        </is>
      </c>
      <c r="C242" s="10" t="inlineStr">
        <is>
          <t>Monitoring</t>
        </is>
      </c>
      <c r="D242" s="10" t="inlineStr">
        <is>
          <t>Integration — Worker &amp; thu thập SSH</t>
        </is>
      </c>
      <c r="E242" s="10" t="inlineStr">
        <is>
          <t>Host key khác bản ghim</t>
        </is>
      </c>
      <c r="F242" s="10" t="inlineStr">
        <is>
          <t>`node-hostkey`</t>
        </is>
      </c>
      <c r="G242" s="10" t="inlineStr">
        <is>
          <t>Gửi lệnh quét</t>
        </is>
      </c>
      <c r="H242" s="10" t="inlineStr">
        <is>
          <t>—</t>
        </is>
      </c>
      <c r="I242" s="10" t="inlineStr">
        <is>
          <t>Ngắt trước khi xác thực; `failureKind=HostKeyMismatch`</t>
        </is>
      </c>
      <c r="J242" s="10" t="inlineStr">
        <is>
          <t>Security</t>
        </is>
      </c>
      <c r="K242" s="10" t="inlineStr">
        <is>
          <t>P1 - Cao</t>
        </is>
      </c>
      <c r="L242" s="10" t="inlineStr">
        <is>
          <t>FR-MON-009</t>
        </is>
      </c>
      <c r="M242" s="11" t="inlineStr">
        <is>
          <t>Chưa chạy</t>
        </is>
      </c>
      <c r="N242" s="11" t="inlineStr"/>
      <c r="O242" s="11" t="inlineStr"/>
      <c r="P242" s="11" t="inlineStr"/>
    </row>
    <row r="243">
      <c r="A243" s="10" t="n">
        <v>242</v>
      </c>
      <c r="B243" s="10" t="inlineStr">
        <is>
          <t>TC-MON-INT-019</t>
        </is>
      </c>
      <c r="C243" s="10" t="inlineStr">
        <is>
          <t>Monitoring</t>
        </is>
      </c>
      <c r="D243" s="10" t="inlineStr">
        <is>
          <t>Integration — Worker &amp; thu thập SSH</t>
        </is>
      </c>
      <c r="E243" s="10" t="inlineStr">
        <is>
          <t>Retry lỗi tạm thời</t>
        </is>
      </c>
      <c r="F243" s="10" t="inlineStr">
        <is>
          <t>Máy chủ từ chối 2 lần đầu</t>
        </is>
      </c>
      <c r="G243" s="10" t="inlineStr">
        <is>
          <t>Gửi lệnh quét</t>
        </is>
      </c>
      <c r="H243" s="10" t="inlineStr">
        <is>
          <t>—</t>
        </is>
      </c>
      <c r="I243" s="10" t="inlineStr">
        <is>
          <t>Worker thử lại tối đa 2 lần rồi thành công; chỉ một `MetricCollectedV1`</t>
        </is>
      </c>
      <c r="J243" s="10" t="inlineStr">
        <is>
          <t>Reliability</t>
        </is>
      </c>
      <c r="K243" s="10" t="inlineStr">
        <is>
          <t>P2 - Trung bình</t>
        </is>
      </c>
      <c r="L243" s="10" t="inlineStr">
        <is>
          <t>FR-MON-010</t>
        </is>
      </c>
      <c r="M243" s="11" t="inlineStr">
        <is>
          <t>Chưa chạy</t>
        </is>
      </c>
      <c r="N243" s="11" t="inlineStr"/>
      <c r="O243" s="11" t="inlineStr"/>
      <c r="P243" s="11" t="inlineStr"/>
    </row>
    <row r="244">
      <c r="A244" s="10" t="n">
        <v>243</v>
      </c>
      <c r="B244" s="10" t="inlineStr">
        <is>
          <t>TC-MON-INT-020</t>
        </is>
      </c>
      <c r="C244" s="10" t="inlineStr">
        <is>
          <t>Monitoring</t>
        </is>
      </c>
      <c r="D244" s="10" t="inlineStr">
        <is>
          <t>Integration — Worker &amp; thu thập SSH</t>
        </is>
      </c>
      <c r="E244" s="10" t="inlineStr">
        <is>
          <t>Kết quả không phân tích được</t>
        </is>
      </c>
      <c r="F244" s="10" t="inlineStr">
        <is>
          <t>Lệnh trả chuỗi rác</t>
        </is>
      </c>
      <c r="G244" s="10" t="inlineStr">
        <is>
          <t>Gửi lệnh quét</t>
        </is>
      </c>
      <c r="H244" s="10" t="inlineStr">
        <is>
          <t>—</t>
        </is>
      </c>
      <c r="I244" s="10" t="inlineStr">
        <is>
          <t>Metric tương ứng `null` (không phải 0/-1), các metric khác vẫn có giá trị</t>
        </is>
      </c>
      <c r="J244" s="10" t="inlineStr">
        <is>
          <t>Functional</t>
        </is>
      </c>
      <c r="K244" s="10" t="inlineStr">
        <is>
          <t>P1 - Cao</t>
        </is>
      </c>
      <c r="L244" s="10" t="inlineStr">
        <is>
          <t>BR-MON-002</t>
        </is>
      </c>
      <c r="M244" s="11" t="inlineStr">
        <is>
          <t>Chưa chạy</t>
        </is>
      </c>
      <c r="N244" s="11" t="inlineStr"/>
      <c r="O244" s="11" t="inlineStr"/>
      <c r="P244" s="11" t="inlineStr"/>
    </row>
    <row r="245">
      <c r="A245" s="10" t="n">
        <v>244</v>
      </c>
      <c r="B245" s="10" t="inlineStr">
        <is>
          <t>TC-MON-INT-021</t>
        </is>
      </c>
      <c r="C245" s="10" t="inlineStr">
        <is>
          <t>Monitoring</t>
        </is>
      </c>
      <c r="D245" s="10" t="inlineStr">
        <is>
          <t>Integration — Worker &amp; thu thập SSH</t>
        </is>
      </c>
      <c r="E245" s="10" t="inlineStr">
        <is>
          <t>Giới hạn kết nối đồng thời</t>
        </is>
      </c>
      <c r="F245" s="10" t="inlineStr">
        <is>
          <t>50 message cùng lúc, limit 8</t>
        </is>
      </c>
      <c r="G245" s="10" t="inlineStr">
        <is>
          <t>Theo dõi phiên SSH</t>
        </is>
      </c>
      <c r="H245" s="10" t="inlineStr">
        <is>
          <t>—</t>
        </is>
      </c>
      <c r="I245" s="10" t="inlineStr">
        <is>
          <t>Tối đa 8 phiên mở đồng thời trên một worker</t>
        </is>
      </c>
      <c r="J245" s="10" t="inlineStr">
        <is>
          <t>Reliability</t>
        </is>
      </c>
      <c r="K245" s="10" t="inlineStr">
        <is>
          <t>P2 - Trung bình</t>
        </is>
      </c>
      <c r="L245" s="10" t="inlineStr">
        <is>
          <t>FR-MON-014</t>
        </is>
      </c>
      <c r="M245" s="11" t="inlineStr">
        <is>
          <t>Chưa chạy</t>
        </is>
      </c>
      <c r="N245" s="11" t="inlineStr"/>
      <c r="O245" s="11" t="inlineStr"/>
      <c r="P245" s="11" t="inlineStr"/>
    </row>
    <row r="246">
      <c r="A246" s="10" t="n">
        <v>245</v>
      </c>
      <c r="B246" s="10" t="inlineStr">
        <is>
          <t>TC-MON-INT-022</t>
        </is>
      </c>
      <c r="C246" s="10" t="inlineStr">
        <is>
          <t>Monitoring</t>
        </is>
      </c>
      <c r="D246" s="10" t="inlineStr">
        <is>
          <t>Integration — Worker &amp; thu thập SSH</t>
        </is>
      </c>
      <c r="E246" s="10" t="inlineStr">
        <is>
          <t>Node bị xóa giữa chừng</t>
        </is>
      </c>
      <c r="F246" s="10" t="inlineStr">
        <is>
          <t>Xóa node sau khi phát lệnh</t>
        </is>
      </c>
      <c r="G246" s="10" t="inlineStr">
        <is>
          <t>Worker xử lý</t>
        </is>
      </c>
      <c r="H246" s="10" t="inlineStr">
        <is>
          <t>—</t>
        </is>
      </c>
      <c r="I246" s="10" t="inlineStr">
        <is>
          <t>Bỏ qua, không lỗi, không phát event</t>
        </is>
      </c>
      <c r="J246" s="10" t="inlineStr">
        <is>
          <t>Reliability</t>
        </is>
      </c>
      <c r="K246" s="10" t="inlineStr">
        <is>
          <t>P2 - Trung bình</t>
        </is>
      </c>
      <c r="L246" s="10" t="inlineStr">
        <is>
          <t>BR-MON-004</t>
        </is>
      </c>
      <c r="M246" s="11" t="inlineStr">
        <is>
          <t>Chưa chạy</t>
        </is>
      </c>
      <c r="N246" s="11" t="inlineStr"/>
      <c r="O246" s="11" t="inlineStr"/>
      <c r="P246" s="11" t="inlineStr"/>
    </row>
    <row r="247">
      <c r="A247" s="10" t="n">
        <v>246</v>
      </c>
      <c r="B247" s="10" t="inlineStr">
        <is>
          <t>TC-MON-INT-023</t>
        </is>
      </c>
      <c r="C247" s="10" t="inlineStr">
        <is>
          <t>Monitoring</t>
        </is>
      </c>
      <c r="D247" s="10" t="inlineStr">
        <is>
          <t>Integration — Worker &amp; thu thập SSH</t>
        </is>
      </c>
      <c r="E247" s="10" t="inlineStr">
        <is>
          <t>Xử lý lại message (idempotent)</t>
        </is>
      </c>
      <c r="F247" s="10" t="inlineStr">
        <is>
          <t>—</t>
        </is>
      </c>
      <c r="G247" s="10" t="inlineStr">
        <is>
          <t>Gửi cùng `CheckNodeV1` 3 lần</t>
        </is>
      </c>
      <c r="H247" s="10" t="inlineStr">
        <is>
          <t>—</t>
        </is>
      </c>
      <c r="I247" s="10" t="inlineStr">
        <is>
          <t>Không tạo 3 snapshot trùng `(nodeId, collectedAt)`; nghiệp vụ không bị nhân đôi</t>
        </is>
      </c>
      <c r="J247" s="10" t="inlineStr">
        <is>
          <t>Reliability</t>
        </is>
      </c>
      <c r="K247" s="10" t="inlineStr">
        <is>
          <t>P1 - Cao</t>
        </is>
      </c>
      <c r="L247" s="10" t="inlineStr">
        <is>
          <t>NFR-AVL-003</t>
        </is>
      </c>
      <c r="M247" s="11" t="inlineStr">
        <is>
          <t>Chưa chạy</t>
        </is>
      </c>
      <c r="N247" s="11" t="inlineStr"/>
      <c r="O247" s="11" t="inlineStr"/>
      <c r="P247" s="11" t="inlineStr"/>
    </row>
    <row r="248">
      <c r="A248" s="10" t="n">
        <v>247</v>
      </c>
      <c r="B248" s="10" t="inlineStr">
        <is>
          <t>TC-MON-INT-024</t>
        </is>
      </c>
      <c r="C248" s="10" t="inlineStr">
        <is>
          <t>Monitoring</t>
        </is>
      </c>
      <c r="D248" s="10" t="inlineStr">
        <is>
          <t>Integration — Worker &amp; thu thập SSH</t>
        </is>
      </c>
      <c r="E248" s="10" t="inlineStr">
        <is>
          <t>Worker bị kill giữa chừng</t>
        </is>
      </c>
      <c r="F248" s="10" t="inlineStr">
        <is>
          <t>Đang xử lý message</t>
        </is>
      </c>
      <c r="G248" s="10" t="inlineStr">
        <is>
          <t>`docker kill` worker</t>
        </is>
      </c>
      <c r="H248" s="10" t="inlineStr">
        <is>
          <t>—</t>
        </is>
      </c>
      <c r="I248" s="10" t="inlineStr">
        <is>
          <t>Message chưa ack quay lại queue và được worker khác xử lý; không mất lệnh</t>
        </is>
      </c>
      <c r="J248" s="10" t="inlineStr">
        <is>
          <t>Reliability</t>
        </is>
      </c>
      <c r="K248" s="10" t="inlineStr">
        <is>
          <t>P1 - Cao</t>
        </is>
      </c>
      <c r="L248" s="10" t="inlineStr">
        <is>
          <t>NFR-AVL-002</t>
        </is>
      </c>
      <c r="M248" s="11" t="inlineStr">
        <is>
          <t>Chưa chạy</t>
        </is>
      </c>
      <c r="N248" s="11" t="inlineStr"/>
      <c r="O248" s="11" t="inlineStr"/>
      <c r="P248" s="11" t="inlineStr"/>
    </row>
    <row r="249">
      <c r="A249" s="10" t="n">
        <v>248</v>
      </c>
      <c r="B249" s="10" t="inlineStr">
        <is>
          <t>TC-MON-INT-025</t>
        </is>
      </c>
      <c r="C249" s="10" t="inlineStr">
        <is>
          <t>Monitoring</t>
        </is>
      </c>
      <c r="D249" s="10" t="inlineStr">
        <is>
          <t>Integration — Worker &amp; thu thập SSH</t>
        </is>
      </c>
      <c r="E249" s="10" t="inlineStr">
        <is>
          <t>Inventory không phản hồi</t>
        </is>
      </c>
      <c r="F249" s="10" t="inlineStr">
        <is>
          <t>Dừng Inventory</t>
        </is>
      </c>
      <c r="G249" s="10" t="inlineStr">
        <is>
          <t>Gửi lệnh quét</t>
        </is>
      </c>
      <c r="H249" s="10" t="inlineStr">
        <is>
          <t>—</t>
        </is>
      </c>
      <c r="I249" s="10" t="inlineStr">
        <is>
          <t>Circuit breaker mở, message retry theo chính sách, cảnh báo phát sinh; không rơi vào vòng lặp nóng</t>
        </is>
      </c>
      <c r="J249" s="10" t="inlineStr">
        <is>
          <t>Reliability</t>
        </is>
      </c>
      <c r="K249" s="10" t="inlineStr">
        <is>
          <t>P1 - Cao</t>
        </is>
      </c>
      <c r="L249" s="10" t="inlineStr">
        <is>
          <t>SRS §10</t>
        </is>
      </c>
      <c r="M249" s="11" t="inlineStr">
        <is>
          <t>Chưa chạy</t>
        </is>
      </c>
      <c r="N249" s="11" t="inlineStr"/>
      <c r="O249" s="11" t="inlineStr"/>
      <c r="P249" s="11" t="inlineStr"/>
    </row>
    <row r="250">
      <c r="A250" s="10" t="n">
        <v>249</v>
      </c>
      <c r="B250" s="10" t="inlineStr">
        <is>
          <t>TC-MON-UNIT-001</t>
        </is>
      </c>
      <c r="C250" s="10" t="inlineStr">
        <is>
          <t>Monitoring</t>
        </is>
      </c>
      <c r="D250" s="10" t="inlineStr">
        <is>
          <t>Unit — Worker &amp; thu thập SSH</t>
        </is>
      </c>
      <c r="E250" s="10" t="inlineStr">
        <is>
          <t>Phân tích kết quả `df`</t>
        </is>
      </c>
      <c r="F250" s="10" t="inlineStr">
        <is>
          <t>—</t>
        </is>
      </c>
      <c r="G250" s="10" t="inlineStr">
        <is>
          <t>Gọi parser</t>
        </is>
      </c>
      <c r="H250" s="10" t="inlineStr">
        <is>
          <t>`"85"`</t>
        </is>
      </c>
      <c r="I250" s="10" t="inlineStr">
        <is>
          <t>`diskPercent = 85`</t>
        </is>
      </c>
      <c r="J250" s="10" t="inlineStr">
        <is>
          <t>Functional</t>
        </is>
      </c>
      <c r="K250" s="10" t="inlineStr">
        <is>
          <t>P1 - Cao</t>
        </is>
      </c>
      <c r="L250" s="10" t="inlineStr">
        <is>
          <t>BR-MON-002</t>
        </is>
      </c>
      <c r="M250" s="11" t="inlineStr">
        <is>
          <t>Chưa chạy</t>
        </is>
      </c>
      <c r="N250" s="11" t="inlineStr"/>
      <c r="O250" s="11" t="inlineStr"/>
      <c r="P250" s="11" t="inlineStr"/>
    </row>
    <row r="251">
      <c r="A251" s="10" t="n">
        <v>250</v>
      </c>
      <c r="B251" s="10" t="inlineStr">
        <is>
          <t>TC-MON-UNIT-002</t>
        </is>
      </c>
      <c r="C251" s="10" t="inlineStr">
        <is>
          <t>Monitoring</t>
        </is>
      </c>
      <c r="D251" s="10" t="inlineStr">
        <is>
          <t>Unit — Worker &amp; thu thập SSH</t>
        </is>
      </c>
      <c r="E251" s="10" t="inlineStr">
        <is>
          <t>Phân tích `/proc/stat` hai mẫu</t>
        </is>
      </c>
      <c r="F251" s="10" t="inlineStr">
        <is>
          <t>—</t>
        </is>
      </c>
      <c r="G251" s="10" t="inlineStr">
        <is>
          <t>Gọi parser với 2 mẫu</t>
        </is>
      </c>
      <c r="H251" s="10" t="inlineStr">
        <is>
          <t>mẫu chuẩn</t>
        </is>
      </c>
      <c r="I251" s="10" t="inlineStr">
        <is>
          <t>Giá trị CPU đúng theo công thức delta</t>
        </is>
      </c>
      <c r="J251" s="10" t="inlineStr">
        <is>
          <t>Functional</t>
        </is>
      </c>
      <c r="K251" s="10" t="inlineStr">
        <is>
          <t>P1 - Cao</t>
        </is>
      </c>
      <c r="L251" s="10" t="inlineStr">
        <is>
          <t>SRS §4</t>
        </is>
      </c>
      <c r="M251" s="11" t="inlineStr">
        <is>
          <t>Chưa chạy</t>
        </is>
      </c>
      <c r="N251" s="11" t="inlineStr"/>
      <c r="O251" s="11" t="inlineStr"/>
      <c r="P251" s="11" t="inlineStr"/>
    </row>
    <row r="252">
      <c r="A252" s="10" t="n">
        <v>251</v>
      </c>
      <c r="B252" s="10" t="inlineStr">
        <is>
          <t>TC-MON-UNIT-003</t>
        </is>
      </c>
      <c r="C252" s="10" t="inlineStr">
        <is>
          <t>Monitoring</t>
        </is>
      </c>
      <c r="D252" s="10" t="inlineStr">
        <is>
          <t>Unit — Worker &amp; thu thập SSH</t>
        </is>
      </c>
      <c r="E252" s="10" t="inlineStr">
        <is>
          <t>RAM dùng cột `available`</t>
        </is>
      </c>
      <c r="F252" s="10" t="inlineStr">
        <is>
          <t>—</t>
        </is>
      </c>
      <c r="G252" s="10" t="inlineStr">
        <is>
          <t>Parser `free`</t>
        </is>
      </c>
      <c r="H252" s="10" t="inlineStr">
        <is>
          <t>mẫu có/không cột available</t>
        </is>
      </c>
      <c r="I252" s="10" t="inlineStr">
        <is>
          <t>Tính đúng cả hai trường hợp (có fallback)</t>
        </is>
      </c>
      <c r="J252" s="10" t="inlineStr">
        <is>
          <t>Functional</t>
        </is>
      </c>
      <c r="K252" s="10" t="inlineStr">
        <is>
          <t>P2 - Trung bình</t>
        </is>
      </c>
      <c r="L252" s="10" t="inlineStr">
        <is>
          <t>SRS §4</t>
        </is>
      </c>
      <c r="M252" s="11" t="inlineStr">
        <is>
          <t>Chưa chạy</t>
        </is>
      </c>
      <c r="N252" s="11" t="inlineStr"/>
      <c r="O252" s="11" t="inlineStr"/>
      <c r="P252" s="11" t="inlineStr"/>
    </row>
    <row r="253">
      <c r="A253" s="10" t="n">
        <v>252</v>
      </c>
      <c r="B253" s="10" t="inlineStr">
        <is>
          <t>TC-MON-UNIT-004</t>
        </is>
      </c>
      <c r="C253" s="10" t="inlineStr">
        <is>
          <t>Monitoring</t>
        </is>
      </c>
      <c r="D253" s="10" t="inlineStr">
        <is>
          <t>Unit — Worker &amp; thu thập SSH</t>
        </is>
      </c>
      <c r="E253" s="10" t="inlineStr">
        <is>
          <t>Giá trị ngoài 0–100</t>
        </is>
      </c>
      <c r="F253" s="10" t="inlineStr">
        <is>
          <t>—</t>
        </is>
      </c>
      <c r="G253" s="10" t="inlineStr">
        <is>
          <t>Parser trả 150</t>
        </is>
      </c>
      <c r="H253" s="10" t="inlineStr">
        <is>
          <t>—</t>
        </is>
      </c>
      <c r="I253" s="10" t="inlineStr">
        <is>
          <t>Bị từ chối, trả `null` + cảnh báo</t>
        </is>
      </c>
      <c r="J253" s="10" t="inlineStr">
        <is>
          <t>Validation</t>
        </is>
      </c>
      <c r="K253" s="10" t="inlineStr">
        <is>
          <t>P2 - Trung bình</t>
        </is>
      </c>
      <c r="L253" s="10" t="inlineStr">
        <is>
          <t>BR-MON-002</t>
        </is>
      </c>
      <c r="M253" s="11" t="inlineStr">
        <is>
          <t>Chưa chạy</t>
        </is>
      </c>
      <c r="N253" s="11" t="inlineStr"/>
      <c r="O253" s="11" t="inlineStr"/>
      <c r="P253" s="11" t="inlineStr"/>
    </row>
    <row r="254">
      <c r="A254" s="10" t="n">
        <v>253</v>
      </c>
      <c r="B254" s="10" t="inlineStr">
        <is>
          <t>TC-MON-UNIT-005</t>
        </is>
      </c>
      <c r="C254" s="10" t="inlineStr">
        <is>
          <t>Monitoring</t>
        </is>
      </c>
      <c r="D254" s="10" t="inlineStr">
        <is>
          <t>Unit — Worker &amp; thu thập SSH</t>
        </is>
      </c>
      <c r="E254" s="10" t="inlineStr">
        <is>
          <t>Lệnh không ghép chuỗi từ input</t>
        </is>
      </c>
      <c r="F254" s="10" t="inlineStr">
        <is>
          <t>—</t>
        </is>
      </c>
      <c r="G254" s="10" t="inlineStr">
        <is>
          <t>Node có `diskMountPath = "/data"`</t>
        </is>
      </c>
      <c r="H254" s="10" t="inlineStr">
        <is>
          <t>—</t>
        </is>
      </c>
      <c r="I254" s="10" t="inlineStr">
        <is>
          <t>Lệnh sinh ra bọc nháy đơn đúng cách; ký tự nguy hiểm đã bị chặn từ validate</t>
        </is>
      </c>
      <c r="J254" s="10" t="inlineStr">
        <is>
          <t>Security</t>
        </is>
      </c>
      <c r="K254" s="10" t="inlineStr">
        <is>
          <t>P1 - Cao</t>
        </is>
      </c>
      <c r="L254" s="10" t="inlineStr">
        <is>
          <t>BR-MON-001</t>
        </is>
      </c>
      <c r="M254" s="11" t="inlineStr">
        <is>
          <t>Chưa chạy</t>
        </is>
      </c>
      <c r="N254" s="11" t="inlineStr"/>
      <c r="O254" s="11" t="inlineStr"/>
      <c r="P254" s="11" t="inlineStr"/>
    </row>
    <row r="255">
      <c r="A255" s="10" t="n">
        <v>254</v>
      </c>
      <c r="B255" s="10" t="inlineStr">
        <is>
          <t>TC-MON-UNIT-006</t>
        </is>
      </c>
      <c r="C255" s="10" t="inlineStr">
        <is>
          <t>Monitoring</t>
        </is>
      </c>
      <c r="D255" s="10" t="inlineStr">
        <is>
          <t>Unit — Worker &amp; thu thập SSH</t>
        </is>
      </c>
      <c r="E255" s="10" t="inlineStr">
        <is>
          <t>Hợp đồng `IMetricCollector`</t>
        </is>
      </c>
      <c r="F255" s="10" t="inlineStr">
        <is>
          <t>—</t>
        </is>
      </c>
      <c r="G255" s="10" t="inlineStr">
        <is>
          <t>Chạy `MetricCollectorContractTests` cho SSH &amp; LOCAL</t>
        </is>
      </c>
      <c r="H255" s="10" t="inlineStr">
        <is>
          <t>—</t>
        </is>
      </c>
      <c r="I255" s="10" t="inlineStr">
        <is>
          <t>Cả hai hiện thực tuân thủ: trả `null` đúng cách, tôn trọng `CancellationToken`, ném đúng loại exception</t>
        </is>
      </c>
      <c r="J255" s="10" t="inlineStr">
        <is>
          <t>Functional</t>
        </is>
      </c>
      <c r="K255" s="10" t="inlineStr">
        <is>
          <t>P2 - Trung bình</t>
        </is>
      </c>
      <c r="L255" s="10" t="inlineStr">
        <is>
          <t>SOLID/LSP</t>
        </is>
      </c>
      <c r="M255" s="11" t="inlineStr">
        <is>
          <t>Chưa chạy</t>
        </is>
      </c>
      <c r="N255" s="11" t="inlineStr"/>
      <c r="O255" s="11" t="inlineStr"/>
      <c r="P255" s="11" t="inlineStr"/>
    </row>
    <row r="256">
      <c r="A256" s="10" t="n">
        <v>255</v>
      </c>
      <c r="B256" s="10" t="inlineStr">
        <is>
          <t>TC-MON-API-001</t>
        </is>
      </c>
      <c r="C256" s="10" t="inlineStr">
        <is>
          <t>Monitoring</t>
        </is>
      </c>
      <c r="D256" s="10" t="inlineStr">
        <is>
          <t>API — API check-now &amp; giao diện</t>
        </is>
      </c>
      <c r="E256" s="10" t="inlineStr">
        <is>
          <t>Check-now thành công</t>
        </is>
      </c>
      <c r="F256" s="10" t="inlineStr">
        <is>
          <t>OPERATOR, node active</t>
        </is>
      </c>
      <c r="G256" s="10" t="inlineStr">
        <is>
          <t>`POST /nodes/{id}/check-now`</t>
        </is>
      </c>
      <c r="H256" s="10" t="inlineStr">
        <is>
          <t>—</t>
        </is>
      </c>
      <c r="I256" s="10" t="inlineStr">
        <is>
          <t>202 + `checkId`; message có `reason=Manual`, `requestedBy`</t>
        </is>
      </c>
      <c r="J256" s="10" t="inlineStr">
        <is>
          <t>Functional</t>
        </is>
      </c>
      <c r="K256" s="10" t="inlineStr">
        <is>
          <t>P1 - Cao</t>
        </is>
      </c>
      <c r="L256" s="10" t="inlineStr">
        <is>
          <t>FR-MON-005</t>
        </is>
      </c>
      <c r="M256" s="11" t="inlineStr">
        <is>
          <t>Chưa chạy</t>
        </is>
      </c>
      <c r="N256" s="11" t="inlineStr"/>
      <c r="O256" s="11" t="inlineStr"/>
      <c r="P256" s="11" t="inlineStr"/>
    </row>
    <row r="257">
      <c r="A257" s="10" t="n">
        <v>256</v>
      </c>
      <c r="B257" s="10" t="inlineStr">
        <is>
          <t>TC-MON-API-002</t>
        </is>
      </c>
      <c r="C257" s="10" t="inlineStr">
        <is>
          <t>Monitoring</t>
        </is>
      </c>
      <c r="D257" s="10" t="inlineStr">
        <is>
          <t>API — API check-now &amp; giao diện</t>
        </is>
      </c>
      <c r="E257" s="10" t="inlineStr">
        <is>
          <t>Check-now node đang tắt</t>
        </is>
      </c>
      <c r="F257" s="10" t="inlineStr">
        <is>
          <t>Node inactive</t>
        </is>
      </c>
      <c r="G257" s="10" t="inlineStr">
        <is>
          <t>như trên</t>
        </is>
      </c>
      <c r="H257" s="10" t="inlineStr">
        <is>
          <t>—</t>
        </is>
      </c>
      <c r="I257" s="10" t="inlineStr">
        <is>
          <t>409 `SOE-MON-409`</t>
        </is>
      </c>
      <c r="J257" s="10" t="inlineStr">
        <is>
          <t>Validation</t>
        </is>
      </c>
      <c r="K257" s="10" t="inlineStr">
        <is>
          <t>P2 - Trung bình</t>
        </is>
      </c>
      <c r="L257" s="10" t="inlineStr">
        <is>
          <t>UC-MON-02/E1</t>
        </is>
      </c>
      <c r="M257" s="11" t="inlineStr">
        <is>
          <t>Chưa chạy</t>
        </is>
      </c>
      <c r="N257" s="11" t="inlineStr"/>
      <c r="O257" s="11" t="inlineStr"/>
      <c r="P257" s="11" t="inlineStr"/>
    </row>
    <row r="258">
      <c r="A258" s="10" t="n">
        <v>257</v>
      </c>
      <c r="B258" s="10" t="inlineStr">
        <is>
          <t>TC-MON-API-003</t>
        </is>
      </c>
      <c r="C258" s="10" t="inlineStr">
        <is>
          <t>Monitoring</t>
        </is>
      </c>
      <c r="D258" s="10" t="inlineStr">
        <is>
          <t>API — API check-now &amp; giao diện</t>
        </is>
      </c>
      <c r="E258" s="10" t="inlineStr">
        <is>
          <t>Rate limit theo node</t>
        </is>
      </c>
      <c r="F258" s="10" t="inlineStr">
        <is>
          <t>Vừa gọi check-now</t>
        </is>
      </c>
      <c r="G258" s="10" t="inlineStr">
        <is>
          <t>Gọi lại sau 5 giây</t>
        </is>
      </c>
      <c r="H258" s="10" t="inlineStr">
        <is>
          <t>—</t>
        </is>
      </c>
      <c r="I258" s="10" t="inlineStr">
        <is>
          <t>429 kèm `Retry-After`</t>
        </is>
      </c>
      <c r="J258" s="10" t="inlineStr">
        <is>
          <t>Security</t>
        </is>
      </c>
      <c r="K258" s="10" t="inlineStr">
        <is>
          <t>P1 - Cao</t>
        </is>
      </c>
      <c r="L258" s="10" t="inlineStr">
        <is>
          <t>FR-MON-005</t>
        </is>
      </c>
      <c r="M258" s="11" t="inlineStr">
        <is>
          <t>Chưa chạy</t>
        </is>
      </c>
      <c r="N258" s="11" t="inlineStr"/>
      <c r="O258" s="11" t="inlineStr"/>
      <c r="P258" s="11" t="inlineStr"/>
    </row>
    <row r="259">
      <c r="A259" s="10" t="n">
        <v>258</v>
      </c>
      <c r="B259" s="10" t="inlineStr">
        <is>
          <t>TC-MON-API-004</t>
        </is>
      </c>
      <c r="C259" s="10" t="inlineStr">
        <is>
          <t>Monitoring</t>
        </is>
      </c>
      <c r="D259" s="10" t="inlineStr">
        <is>
          <t>API — API check-now &amp; giao diện</t>
        </is>
      </c>
      <c r="E259" s="10" t="inlineStr">
        <is>
          <t>VIEWER gọi check-now</t>
        </is>
      </c>
      <c r="F259" s="10" t="inlineStr">
        <is>
          <t>Đăng nhập VIEWER</t>
        </is>
      </c>
      <c r="G259" s="10" t="inlineStr">
        <is>
          <t>như trên</t>
        </is>
      </c>
      <c r="H259" s="10" t="inlineStr">
        <is>
          <t>—</t>
        </is>
      </c>
      <c r="I259" s="10" t="inlineStr">
        <is>
          <t>403</t>
        </is>
      </c>
      <c r="J259" s="10" t="inlineStr">
        <is>
          <t>Security</t>
        </is>
      </c>
      <c r="K259" s="10" t="inlineStr">
        <is>
          <t>P1 - Cao</t>
        </is>
      </c>
      <c r="L259" s="10" t="inlineStr">
        <is>
          <t>NFR-SEC-008</t>
        </is>
      </c>
      <c r="M259" s="11" t="inlineStr">
        <is>
          <t>Chưa chạy</t>
        </is>
      </c>
      <c r="N259" s="11" t="inlineStr"/>
      <c r="O259" s="11" t="inlineStr"/>
      <c r="P259" s="11" t="inlineStr"/>
    </row>
    <row r="260">
      <c r="A260" s="10" t="n">
        <v>259</v>
      </c>
      <c r="B260" s="10" t="inlineStr">
        <is>
          <t>TC-MON-API-005</t>
        </is>
      </c>
      <c r="C260" s="10" t="inlineStr">
        <is>
          <t>Monitoring</t>
        </is>
      </c>
      <c r="D260" s="10" t="inlineStr">
        <is>
          <t>API — API check-now &amp; giao diện</t>
        </is>
      </c>
      <c r="E260" s="10" t="inlineStr">
        <is>
          <t>Lịch sử lần quét</t>
        </is>
      </c>
      <c r="F260" s="10" t="inlineStr">
        <is>
          <t>Node đã quét ≥ 3 lần</t>
        </is>
      </c>
      <c r="G260" s="10" t="inlineStr">
        <is>
          <t>`GET /nodes/{id}/check-runs?limit=20`</t>
        </is>
      </c>
      <c r="H260" s="10" t="inlineStr">
        <is>
          <t>—</t>
        </is>
      </c>
      <c r="I260" s="10" t="inlineStr">
        <is>
          <t>200; mới nhất trước; có `outcome`, `durationMs`, `failureKind`</t>
        </is>
      </c>
      <c r="J260" s="10" t="inlineStr">
        <is>
          <t>Functional</t>
        </is>
      </c>
      <c r="K260" s="10" t="inlineStr">
        <is>
          <t>P2 - Trung bình</t>
        </is>
      </c>
      <c r="L260" s="10" t="inlineStr">
        <is>
          <t>FR-MON-012</t>
        </is>
      </c>
      <c r="M260" s="11" t="inlineStr">
        <is>
          <t>Chưa chạy</t>
        </is>
      </c>
      <c r="N260" s="11" t="inlineStr"/>
      <c r="O260" s="11" t="inlineStr"/>
      <c r="P260" s="11" t="inlineStr"/>
    </row>
    <row r="261">
      <c r="A261" s="10" t="n">
        <v>260</v>
      </c>
      <c r="B261" s="10" t="inlineStr">
        <is>
          <t>TC-MON-API-006</t>
        </is>
      </c>
      <c r="C261" s="10" t="inlineStr">
        <is>
          <t>Monitoring</t>
        </is>
      </c>
      <c r="D261" s="10" t="inlineStr">
        <is>
          <t>API — API check-now &amp; giao diện</t>
        </is>
      </c>
      <c r="E261" s="10" t="inlineStr">
        <is>
          <t>Trạng thái giám sát</t>
        </is>
      </c>
      <c r="F261" s="10" t="inlineStr">
        <is>
          <t>—</t>
        </is>
      </c>
      <c r="G261" s="10" t="inlineStr">
        <is>
          <t>`GET /monitoring/status`</t>
        </is>
      </c>
      <c r="H261" s="10" t="inlineStr">
        <is>
          <t>—</t>
        </is>
      </c>
      <c r="I261" s="10" t="inlineStr">
        <is>
          <t>200 với `schedulerEnabled`, `defaultIntervalSeconds`, `activeNodeCount`, `queueDepth`, `lastCycleDurationMs`</t>
        </is>
      </c>
      <c r="J261" s="10" t="inlineStr">
        <is>
          <t>Functional</t>
        </is>
      </c>
      <c r="K261" s="10" t="inlineStr">
        <is>
          <t>P2 - Trung bình</t>
        </is>
      </c>
      <c r="L261" s="10" t="inlineStr">
        <is>
          <t>SRS §6</t>
        </is>
      </c>
      <c r="M261" s="11" t="inlineStr">
        <is>
          <t>Chưa chạy</t>
        </is>
      </c>
      <c r="N261" s="11" t="inlineStr"/>
      <c r="O261" s="11" t="inlineStr"/>
      <c r="P261" s="11" t="inlineStr"/>
    </row>
    <row r="262">
      <c r="A262" s="10" t="n">
        <v>261</v>
      </c>
      <c r="B262" s="10" t="inlineStr">
        <is>
          <t>TC-MON-E2E-001</t>
        </is>
      </c>
      <c r="C262" s="10" t="inlineStr">
        <is>
          <t>Monitoring</t>
        </is>
      </c>
      <c r="D262" s="10" t="inlineStr">
        <is>
          <t>E2E (UI) — API check-now &amp; giao diện</t>
        </is>
      </c>
      <c r="E262" s="10" t="inlineStr">
        <is>
          <t>Bấm “Kiểm tra ngay”</t>
        </is>
      </c>
      <c r="F262" s="10" t="inlineStr">
        <is>
          <t>OPERATOR ở Node Detail</t>
        </is>
      </c>
      <c r="G262" s="10" t="inlineStr">
        <is>
          <t>Bấm nút</t>
        </is>
      </c>
      <c r="H262" s="10" t="inlineStr">
        <is>
          <t>—</t>
        </is>
      </c>
      <c r="I262" s="10" t="inlineStr">
        <is>
          <t>Nút chuyển trạng thái đang kiểm tra và khóa 30 giây; khi có kết quả, chỉ số cập nhật và hiện toast</t>
        </is>
      </c>
      <c r="J262" s="10" t="inlineStr">
        <is>
          <t>Functional</t>
        </is>
      </c>
      <c r="K262" s="10" t="inlineStr">
        <is>
          <t>P1 - Cao</t>
        </is>
      </c>
      <c r="L262" s="10" t="inlineStr">
        <is>
          <t>FR-MON-FE-001</t>
        </is>
      </c>
      <c r="M262" s="11" t="inlineStr">
        <is>
          <t>Chưa chạy</t>
        </is>
      </c>
      <c r="N262" s="11" t="inlineStr"/>
      <c r="O262" s="11" t="inlineStr"/>
      <c r="P262" s="11" t="inlineStr"/>
    </row>
    <row r="263">
      <c r="A263" s="10" t="n">
        <v>262</v>
      </c>
      <c r="B263" s="10" t="inlineStr">
        <is>
          <t>TC-MON-E2E-002</t>
        </is>
      </c>
      <c r="C263" s="10" t="inlineStr">
        <is>
          <t>Monitoring</t>
        </is>
      </c>
      <c r="D263" s="10" t="inlineStr">
        <is>
          <t>E2E (UI) — API check-now &amp; giao diện</t>
        </is>
      </c>
      <c r="E263" s="10" t="inlineStr">
        <is>
          <t>Thông báo khi bị giới hạn</t>
        </is>
      </c>
      <c r="F263" s="10" t="inlineStr">
        <is>
          <t>Vừa bấm kiểm tra</t>
        </is>
      </c>
      <c r="G263" s="10" t="inlineStr">
        <is>
          <t>Bấm lại ngay</t>
        </is>
      </c>
      <c r="H263" s="10" t="inlineStr">
        <is>
          <t>—</t>
        </is>
      </c>
      <c r="I263" s="10" t="inlineStr">
        <is>
          <t>Hiện “Vui lòng đợi {n} giây trước khi kiểm tra lại”</t>
        </is>
      </c>
      <c r="J263" s="10" t="inlineStr">
        <is>
          <t>UI/UX</t>
        </is>
      </c>
      <c r="K263" s="10" t="inlineStr">
        <is>
          <t>P2 - Trung bình</t>
        </is>
      </c>
      <c r="L263" s="10" t="inlineStr">
        <is>
          <t>FR-MON-FE-005</t>
        </is>
      </c>
      <c r="M263" s="11" t="inlineStr">
        <is>
          <t>Chưa chạy</t>
        </is>
      </c>
      <c r="N263" s="11" t="inlineStr"/>
      <c r="O263" s="11" t="inlineStr"/>
      <c r="P263" s="11" t="inlineStr"/>
    </row>
    <row r="264">
      <c r="A264" s="10" t="n">
        <v>263</v>
      </c>
      <c r="B264" s="10" t="inlineStr">
        <is>
          <t>TC-MON-E2E-003</t>
        </is>
      </c>
      <c r="C264" s="10" t="inlineStr">
        <is>
          <t>Monitoring</t>
        </is>
      </c>
      <c r="D264" s="10" t="inlineStr">
        <is>
          <t>E2E (UI) — API check-now &amp; giao diện</t>
        </is>
      </c>
      <c r="E264" s="10" t="inlineStr">
        <is>
          <t>Bảng lần quét gần đây</t>
        </is>
      </c>
      <c r="F264" s="10" t="inlineStr">
        <is>
          <t>Node có lần quét lỗi</t>
        </is>
      </c>
      <c r="G264" s="10" t="inlineStr">
        <is>
          <t>Mở Node Detail</t>
        </is>
      </c>
      <c r="H264" s="10" t="inlineStr">
        <is>
          <t>—</t>
        </is>
      </c>
      <c r="I264" s="10" t="inlineStr">
        <is>
          <t>Hiển thị thời gian, kết quả, thời lượng, loại lỗi bằng tiếng Việt</t>
        </is>
      </c>
      <c r="J264" s="10" t="inlineStr">
        <is>
          <t>UI/UX</t>
        </is>
      </c>
      <c r="K264" s="10" t="inlineStr">
        <is>
          <t>P2 - Trung bình</t>
        </is>
      </c>
      <c r="L264" s="10" t="inlineStr">
        <is>
          <t>FR-MON-FE-003</t>
        </is>
      </c>
      <c r="M264" s="11" t="inlineStr">
        <is>
          <t>Chưa chạy</t>
        </is>
      </c>
      <c r="N264" s="11" t="inlineStr"/>
      <c r="O264" s="11" t="inlineStr"/>
      <c r="P264" s="11" t="inlineStr"/>
    </row>
    <row r="265">
      <c r="A265" s="10" t="n">
        <v>264</v>
      </c>
      <c r="B265" s="10" t="inlineStr">
        <is>
          <t>TC-MON-E2E-004</t>
        </is>
      </c>
      <c r="C265" s="10" t="inlineStr">
        <is>
          <t>Monitoring</t>
        </is>
      </c>
      <c r="D265" s="10" t="inlineStr">
        <is>
          <t>E2E (UI) — API check-now &amp; giao diện</t>
        </is>
      </c>
      <c r="E265" s="10" t="inlineStr">
        <is>
          <t>Thẻ trạng thái giám sát</t>
        </is>
      </c>
      <c r="F265" s="10" t="inlineStr">
        <is>
          <t>Scheduler tắt</t>
        </is>
      </c>
      <c r="G265" s="10" t="inlineStr">
        <is>
          <t>Mở Dashboard</t>
        </is>
      </c>
      <c r="H265" s="10" t="inlineStr">
        <is>
          <t>—</t>
        </is>
      </c>
      <c r="I265" s="10" t="inlineStr">
        <is>
          <t>Hiển thị “Giám sát đang tạm dừng” nổi bật</t>
        </is>
      </c>
      <c r="J265" s="10" t="inlineStr">
        <is>
          <t>UI/UX</t>
        </is>
      </c>
      <c r="K265" s="10" t="inlineStr">
        <is>
          <t>P2 - Trung bình</t>
        </is>
      </c>
      <c r="L265" s="10" t="inlineStr">
        <is>
          <t>FR-MON-FE-002</t>
        </is>
      </c>
      <c r="M265" s="11" t="inlineStr">
        <is>
          <t>Chưa chạy</t>
        </is>
      </c>
      <c r="N265" s="11" t="inlineStr"/>
      <c r="O265" s="11" t="inlineStr"/>
      <c r="P265" s="11" t="inlineStr"/>
    </row>
    <row r="266">
      <c r="A266" s="10" t="n">
        <v>265</v>
      </c>
      <c r="B266" s="10" t="inlineStr">
        <is>
          <t>TC-MON-E2E-005</t>
        </is>
      </c>
      <c r="C266" s="10" t="inlineStr">
        <is>
          <t>Monitoring</t>
        </is>
      </c>
      <c r="D266" s="10" t="inlineStr">
        <is>
          <t>E2E (UI) — API check-now &amp; giao diện</t>
        </is>
      </c>
      <c r="E266" s="10" t="inlineStr">
        <is>
          <t>Cấu hình chu kỳ</t>
        </is>
      </c>
      <c r="F266" s="10" t="inlineStr">
        <is>
          <t>ADMIN ở SystemConfig</t>
        </is>
      </c>
      <c r="G266" s="10" t="inlineStr">
        <is>
          <t>Đổi chu kỳ thành 30 giây</t>
        </is>
      </c>
      <c r="H266" s="10" t="inlineStr">
        <is>
          <t>—</t>
        </is>
      </c>
      <c r="I266" s="10" t="inlineStr">
        <is>
          <t>Bị chặn bởi validate (60–3600); đổi thành 120 giây thì lưu thành công kèm xác nhận</t>
        </is>
      </c>
      <c r="J266" s="10" t="inlineStr">
        <is>
          <t>Validation</t>
        </is>
      </c>
      <c r="K266" s="10" t="inlineStr">
        <is>
          <t>P1 - Cao</t>
        </is>
      </c>
      <c r="L266" s="10" t="inlineStr">
        <is>
          <t>FR-MON-FE-004</t>
        </is>
      </c>
      <c r="M266" s="11" t="inlineStr">
        <is>
          <t>Chưa chạy</t>
        </is>
      </c>
      <c r="N266" s="11" t="inlineStr"/>
      <c r="O266" s="11" t="inlineStr"/>
      <c r="P266" s="11" t="inlineStr"/>
    </row>
    <row r="267">
      <c r="A267" s="10" t="n">
        <v>266</v>
      </c>
      <c r="B267" s="10" t="inlineStr">
        <is>
          <t>TC-MET-INT-001</t>
        </is>
      </c>
      <c r="C267" s="10" t="inlineStr">
        <is>
          <t>Metrics</t>
        </is>
      </c>
      <c r="D267" s="10" t="inlineStr">
        <is>
          <t>Integration — Backend</t>
        </is>
      </c>
      <c r="E267" s="10" t="inlineStr">
        <is>
          <t>Lưu snapshot từ event</t>
        </is>
      </c>
      <c r="F267" s="10" t="inlineStr">
        <is>
          <t>Bus chạy</t>
        </is>
      </c>
      <c r="G267" s="10" t="inlineStr">
        <is>
          <t>Publish `MetricCollectedV1`</t>
        </is>
      </c>
      <c r="H267" s="10" t="inlineStr">
        <is>
          <t>cpu 42.5, mem 71.8, disk 91.2</t>
        </is>
      </c>
      <c r="I267" s="10" t="inlineStr">
        <is>
          <t>Một bản ghi `MetricSnapshots` đúng giá trị và `CollectedAt` (UTC)</t>
        </is>
      </c>
      <c r="J267" s="10" t="inlineStr">
        <is>
          <t>Functional</t>
        </is>
      </c>
      <c r="K267" s="10" t="inlineStr">
        <is>
          <t>P1 - Cao</t>
        </is>
      </c>
      <c r="L267" s="10" t="inlineStr">
        <is>
          <t>FR-MET-001</t>
        </is>
      </c>
      <c r="M267" s="11" t="inlineStr">
        <is>
          <t>Chưa chạy</t>
        </is>
      </c>
      <c r="N267" s="11" t="inlineStr"/>
      <c r="O267" s="11" t="inlineStr"/>
      <c r="P267" s="11" t="inlineStr"/>
    </row>
    <row r="268">
      <c r="A268" s="10" t="n">
        <v>267</v>
      </c>
      <c r="B268" s="10" t="inlineStr">
        <is>
          <t>TC-MET-INT-002</t>
        </is>
      </c>
      <c r="C268" s="10" t="inlineStr">
        <is>
          <t>Metrics</t>
        </is>
      </c>
      <c r="D268" s="10" t="inlineStr">
        <is>
          <t>Integration — Backend</t>
        </is>
      </c>
      <c r="E268" s="10" t="inlineStr">
        <is>
          <t>Bỏ qua bản trùng</t>
        </is>
      </c>
      <c r="F268" s="10" t="inlineStr">
        <is>
          <t>Đã lưu snapshot</t>
        </is>
      </c>
      <c r="G268" s="10" t="inlineStr">
        <is>
          <t>Publish lại cùng message</t>
        </is>
      </c>
      <c r="H268" s="10" t="inlineStr">
        <is>
          <t>—</t>
        </is>
      </c>
      <c r="I268" s="10" t="inlineStr">
        <is>
          <t>Vẫn chỉ 1 bản ghi (unique `(NodeId, CollectedAt)`)</t>
        </is>
      </c>
      <c r="J268" s="10" t="inlineStr">
        <is>
          <t>Reliability</t>
        </is>
      </c>
      <c r="K268" s="10" t="inlineStr">
        <is>
          <t>P1 - Cao</t>
        </is>
      </c>
      <c r="L268" s="10" t="inlineStr">
        <is>
          <t>FR-MET-002, NFR-AVL-003</t>
        </is>
      </c>
      <c r="M268" s="11" t="inlineStr">
        <is>
          <t>Chưa chạy</t>
        </is>
      </c>
      <c r="N268" s="11" t="inlineStr"/>
      <c r="O268" s="11" t="inlineStr"/>
      <c r="P268" s="11" t="inlineStr"/>
    </row>
    <row r="269">
      <c r="A269" s="10" t="n">
        <v>268</v>
      </c>
      <c r="B269" s="10" t="inlineStr">
        <is>
          <t>TC-MET-INT-003</t>
        </is>
      </c>
      <c r="C269" s="10" t="inlineStr">
        <is>
          <t>Metrics</t>
        </is>
      </c>
      <c r="D269" s="10" t="inlineStr">
        <is>
          <t>Integration — Backend</t>
        </is>
      </c>
      <c r="E269" s="10" t="inlineStr">
        <is>
          <t>Ghi theo lô</t>
        </is>
      </c>
      <c r="F269" s="10" t="inlineStr">
        <is>
          <t>500 event trong 1 giây</t>
        </is>
      </c>
      <c r="G269" s="10" t="inlineStr">
        <is>
          <t>Theo dõi số lệnh INSERT</t>
        </is>
      </c>
      <c r="H269" s="10" t="inlineStr">
        <is>
          <t>—</t>
        </is>
      </c>
      <c r="I269" s="10" t="inlineStr">
        <is>
          <t>Ghi theo lô (≤ 10 lệnh), không mất bản ghi nào</t>
        </is>
      </c>
      <c r="J269" s="10" t="inlineStr">
        <is>
          <t>Performance</t>
        </is>
      </c>
      <c r="K269" s="10" t="inlineStr">
        <is>
          <t>P2 - Trung bình</t>
        </is>
      </c>
      <c r="L269" s="10" t="inlineStr">
        <is>
          <t>NFR-SCL-005</t>
        </is>
      </c>
      <c r="M269" s="11" t="inlineStr">
        <is>
          <t>Chưa chạy</t>
        </is>
      </c>
      <c r="N269" s="11" t="inlineStr"/>
      <c r="O269" s="11" t="inlineStr"/>
      <c r="P269" s="11" t="inlineStr"/>
    </row>
    <row r="270">
      <c r="A270" s="10" t="n">
        <v>269</v>
      </c>
      <c r="B270" s="10" t="inlineStr">
        <is>
          <t>TC-MET-INT-004</t>
        </is>
      </c>
      <c r="C270" s="10" t="inlineStr">
        <is>
          <t>Metrics</t>
        </is>
      </c>
      <c r="D270" s="10" t="inlineStr">
        <is>
          <t>Integration — Backend</t>
        </is>
      </c>
      <c r="E270" s="10" t="inlineStr">
        <is>
          <t>Cập nhật `MetricLatest`</t>
        </is>
      </c>
      <c r="F270" s="10" t="inlineStr">
        <is>
          <t>—</t>
        </is>
      </c>
      <c r="G270" s="10" t="inlineStr">
        <is>
          <t>Publish 2 snapshot liên tiếp</t>
        </is>
      </c>
      <c r="H270" s="10" t="inlineStr">
        <is>
          <t>—</t>
        </is>
      </c>
      <c r="I270" s="10" t="inlineStr">
        <is>
          <t>`MetricLatest` giữ bản mới nhất, `status` tính đúng theo ngưỡng</t>
        </is>
      </c>
      <c r="J270" s="10" t="inlineStr">
        <is>
          <t>Functional</t>
        </is>
      </c>
      <c r="K270" s="10" t="inlineStr">
        <is>
          <t>P1 - Cao</t>
        </is>
      </c>
      <c r="L270" s="10" t="inlineStr">
        <is>
          <t>FR-MET-003</t>
        </is>
      </c>
      <c r="M270" s="11" t="inlineStr">
        <is>
          <t>Chưa chạy</t>
        </is>
      </c>
      <c r="N270" s="11" t="inlineStr"/>
      <c r="O270" s="11" t="inlineStr"/>
      <c r="P270" s="11" t="inlineStr"/>
    </row>
    <row r="271">
      <c r="A271" s="10" t="n">
        <v>270</v>
      </c>
      <c r="B271" s="10" t="inlineStr">
        <is>
          <t>TC-MET-INT-005</t>
        </is>
      </c>
      <c r="C271" s="10" t="inlineStr">
        <is>
          <t>Metrics</t>
        </is>
      </c>
      <c r="D271" s="10" t="inlineStr">
        <is>
          <t>Integration — Backend</t>
        </is>
      </c>
      <c r="E271" s="10" t="inlineStr">
        <is>
          <t>Trạng thái UNREACHABLE</t>
        </is>
      </c>
      <c r="F271" s="10" t="inlineStr">
        <is>
          <t>—</t>
        </is>
      </c>
      <c r="G271" s="10" t="inlineStr">
        <is>
          <t>Publish `NodeUnreachableV1`</t>
        </is>
      </c>
      <c r="H271" s="10" t="inlineStr">
        <is>
          <t>—</t>
        </is>
      </c>
      <c r="I271" s="10" t="inlineStr">
        <is>
          <t>`MetricLatest.status = UNREACHABLE`</t>
        </is>
      </c>
      <c r="J271" s="10" t="inlineStr">
        <is>
          <t>Functional</t>
        </is>
      </c>
      <c r="K271" s="10" t="inlineStr">
        <is>
          <t>P2 - Trung bình</t>
        </is>
      </c>
      <c r="L271" s="10" t="inlineStr">
        <is>
          <t>FR-MET-003</t>
        </is>
      </c>
      <c r="M271" s="11" t="inlineStr">
        <is>
          <t>Chưa chạy</t>
        </is>
      </c>
      <c r="N271" s="11" t="inlineStr"/>
      <c r="O271" s="11" t="inlineStr"/>
      <c r="P271" s="11" t="inlineStr"/>
    </row>
    <row r="272">
      <c r="A272" s="10" t="n">
        <v>271</v>
      </c>
      <c r="B272" s="10" t="inlineStr">
        <is>
          <t>TC-MET-INT-006</t>
        </is>
      </c>
      <c r="C272" s="10" t="inlineStr">
        <is>
          <t>Metrics</t>
        </is>
      </c>
      <c r="D272" s="10" t="inlineStr">
        <is>
          <t>Integration — Backend</t>
        </is>
      </c>
      <c r="E272" s="10" t="inlineStr">
        <is>
          <t>Trạng thái MONITORING_OFF</t>
        </is>
      </c>
      <c r="F272" s="10" t="inlineStr">
        <is>
          <t>—</t>
        </is>
      </c>
      <c r="G272" s="10" t="inlineStr">
        <is>
          <t>Publish `NodeMonitoringToggledV1 {isActive:false}`</t>
        </is>
      </c>
      <c r="H272" s="10" t="inlineStr">
        <is>
          <t>—</t>
        </is>
      </c>
      <c r="I272" s="10" t="inlineStr">
        <is>
          <t>`status = MONITORING_OFF`</t>
        </is>
      </c>
      <c r="J272" s="10" t="inlineStr">
        <is>
          <t>Functional</t>
        </is>
      </c>
      <c r="K272" s="10" t="inlineStr">
        <is>
          <t>P2 - Trung bình</t>
        </is>
      </c>
      <c r="L272" s="10" t="inlineStr">
        <is>
          <t>FR-MET-003</t>
        </is>
      </c>
      <c r="M272" s="11" t="inlineStr">
        <is>
          <t>Chưa chạy</t>
        </is>
      </c>
      <c r="N272" s="11" t="inlineStr"/>
      <c r="O272" s="11" t="inlineStr"/>
      <c r="P272" s="11" t="inlineStr"/>
    </row>
    <row r="273">
      <c r="A273" s="10" t="n">
        <v>272</v>
      </c>
      <c r="B273" s="10" t="inlineStr">
        <is>
          <t>TC-MET-INT-007</t>
        </is>
      </c>
      <c r="C273" s="10" t="inlineStr">
        <is>
          <t>Metrics</t>
        </is>
      </c>
      <c r="D273" s="10" t="inlineStr">
        <is>
          <t>Integration — Backend</t>
        </is>
      </c>
      <c r="E273" s="10" t="inlineStr">
        <is>
          <t>Giá trị null được giữ nguyên</t>
        </is>
      </c>
      <c r="F273" s="10" t="inlineStr">
        <is>
          <t>—</t>
        </is>
      </c>
      <c r="G273" s="10" t="inlineStr">
        <is>
          <t>Publish snapshot có `cpuPercent = null`</t>
        </is>
      </c>
      <c r="H273" s="10" t="inlineStr">
        <is>
          <t>—</t>
        </is>
      </c>
      <c r="I273" s="10" t="inlineStr">
        <is>
          <t>Cột `CpuPercent` là NULL (không phải 0 hay -1)</t>
        </is>
      </c>
      <c r="J273" s="10" t="inlineStr">
        <is>
          <t>Functional</t>
        </is>
      </c>
      <c r="K273" s="10" t="inlineStr">
        <is>
          <t>P1 - Cao</t>
        </is>
      </c>
      <c r="L273" s="10" t="inlineStr">
        <is>
          <t>BR-MET-001</t>
        </is>
      </c>
      <c r="M273" s="11" t="inlineStr">
        <is>
          <t>Chưa chạy</t>
        </is>
      </c>
      <c r="N273" s="11" t="inlineStr"/>
      <c r="O273" s="11" t="inlineStr"/>
      <c r="P273" s="11" t="inlineStr"/>
    </row>
    <row r="274">
      <c r="A274" s="10" t="n">
        <v>273</v>
      </c>
      <c r="B274" s="10" t="inlineStr">
        <is>
          <t>TC-MET-INT-008</t>
        </is>
      </c>
      <c r="C274" s="10" t="inlineStr">
        <is>
          <t>Metrics</t>
        </is>
      </c>
      <c r="D274" s="10" t="inlineStr">
        <is>
          <t>Integration — Backend</t>
        </is>
      </c>
      <c r="E274" s="10" t="inlineStr">
        <is>
          <t>Bản ghi mồ côi</t>
        </is>
      </c>
      <c r="F274" s="10" t="inlineStr">
        <is>
          <t>Node chưa tồn tại trong read model</t>
        </is>
      </c>
      <c r="G274" s="10" t="inlineStr">
        <is>
          <t>Publish snapshot</t>
        </is>
      </c>
      <c r="H274" s="10" t="inlineStr">
        <is>
          <t>—</t>
        </is>
      </c>
      <c r="I274" s="10" t="inlineStr">
        <is>
          <t>Ghi log cảnh báo, bỏ qua, không làm chết consumer</t>
        </is>
      </c>
      <c r="J274" s="10" t="inlineStr">
        <is>
          <t>Reliability</t>
        </is>
      </c>
      <c r="K274" s="10" t="inlineStr">
        <is>
          <t>P2 - Trung bình</t>
        </is>
      </c>
      <c r="L274" s="10" t="inlineStr">
        <is>
          <t>FR-MET-013</t>
        </is>
      </c>
      <c r="M274" s="11" t="inlineStr">
        <is>
          <t>Chưa chạy</t>
        </is>
      </c>
      <c r="N274" s="11" t="inlineStr"/>
      <c r="O274" s="11" t="inlineStr"/>
      <c r="P274" s="11" t="inlineStr"/>
    </row>
    <row r="275">
      <c r="A275" s="10" t="n">
        <v>274</v>
      </c>
      <c r="B275" s="10" t="inlineStr">
        <is>
          <t>TC-MET-INT-009</t>
        </is>
      </c>
      <c r="C275" s="10" t="inlineStr">
        <is>
          <t>Metrics</t>
        </is>
      </c>
      <c r="D275" s="10" t="inlineStr">
        <is>
          <t>Integration — Backend</t>
        </is>
      </c>
      <c r="E275" s="10" t="inlineStr">
        <is>
          <t>Job rollup theo giờ</t>
        </is>
      </c>
      <c r="F275" s="10" t="inlineStr">
        <is>
          <t>Có 12 snapshot trong 1 giờ</t>
        </is>
      </c>
      <c r="G275" s="10" t="inlineStr">
        <is>
          <t>Chạy job rollup</t>
        </is>
      </c>
      <c r="H275" s="10" t="inlineStr">
        <is>
          <t>—</t>
        </is>
      </c>
      <c r="I275" s="10" t="inlineStr">
        <is>
          <t>Một bản ghi `MetricHourlyRollups` với avg/min/max/sampleCount đúng</t>
        </is>
      </c>
      <c r="J275" s="10" t="inlineStr">
        <is>
          <t>Functional</t>
        </is>
      </c>
      <c r="K275" s="10" t="inlineStr">
        <is>
          <t>P1 - Cao</t>
        </is>
      </c>
      <c r="L275" s="10" t="inlineStr">
        <is>
          <t>FR-MET-007</t>
        </is>
      </c>
      <c r="M275" s="11" t="inlineStr">
        <is>
          <t>Chưa chạy</t>
        </is>
      </c>
      <c r="N275" s="11" t="inlineStr"/>
      <c r="O275" s="11" t="inlineStr"/>
      <c r="P275" s="11" t="inlineStr"/>
    </row>
    <row r="276">
      <c r="A276" s="10" t="n">
        <v>275</v>
      </c>
      <c r="B276" s="10" t="inlineStr">
        <is>
          <t>TC-MET-INT-010</t>
        </is>
      </c>
      <c r="C276" s="10" t="inlineStr">
        <is>
          <t>Metrics</t>
        </is>
      </c>
      <c r="D276" s="10" t="inlineStr">
        <is>
          <t>Integration — Backend</t>
        </is>
      </c>
      <c r="E276" s="10" t="inlineStr">
        <is>
          <t>Job retention</t>
        </is>
      </c>
      <c r="F276" s="10" t="inlineStr">
        <is>
          <t>Có dữ liệu 100 ngày</t>
        </is>
      </c>
      <c r="G276" s="10" t="inlineStr">
        <is>
          <t>Chạy job retention</t>
        </is>
      </c>
      <c r="H276" s="10" t="inlineStr">
        <is>
          <t>—</t>
        </is>
      </c>
      <c r="I276" s="10" t="inlineStr">
        <is>
          <t>Snapshot &gt; 90 ngày bị xóa bằng partition switch; rollup vẫn còn; thời gian chạy &lt; 30 giây</t>
        </is>
      </c>
      <c r="J276" s="10" t="inlineStr">
        <is>
          <t>Performance</t>
        </is>
      </c>
      <c r="K276" s="10" t="inlineStr">
        <is>
          <t>P2 - Trung bình</t>
        </is>
      </c>
      <c r="L276" s="10" t="inlineStr">
        <is>
          <t>FR-MET-008</t>
        </is>
      </c>
      <c r="M276" s="11" t="inlineStr">
        <is>
          <t>Chưa chạy</t>
        </is>
      </c>
      <c r="N276" s="11" t="inlineStr"/>
      <c r="O276" s="11" t="inlineStr"/>
      <c r="P276" s="11" t="inlineStr"/>
    </row>
    <row r="277">
      <c r="A277" s="10" t="n">
        <v>276</v>
      </c>
      <c r="B277" s="10" t="inlineStr">
        <is>
          <t>TC-MET-INT-011</t>
        </is>
      </c>
      <c r="C277" s="10" t="inlineStr">
        <is>
          <t>Metrics</t>
        </is>
      </c>
      <c r="D277" s="10" t="inlineStr">
        <is>
          <t>Integration — Backend</t>
        </is>
      </c>
      <c r="E277" s="10" t="inlineStr">
        <is>
          <t>Job chỉ chạy một instance</t>
        </is>
      </c>
      <c r="F277" s="10" t="inlineStr">
        <is>
          <t>2 replica Metrics</t>
        </is>
      </c>
      <c r="G277" s="10" t="inlineStr">
        <is>
          <t>Chạy job rollup</t>
        </is>
      </c>
      <c r="H277" s="10" t="inlineStr">
        <is>
          <t>—</t>
        </is>
      </c>
      <c r="I277" s="10" t="inlineStr">
        <is>
          <t>Chỉ một instance thực thi (khóa phân tán), không sinh bản ghi trùng</t>
        </is>
      </c>
      <c r="J277" s="10" t="inlineStr">
        <is>
          <t>Reliability</t>
        </is>
      </c>
      <c r="K277" s="10" t="inlineStr">
        <is>
          <t>P2 - Trung bình</t>
        </is>
      </c>
      <c r="L277" s="10" t="inlineStr">
        <is>
          <t>deployment §4</t>
        </is>
      </c>
      <c r="M277" s="11" t="inlineStr">
        <is>
          <t>Chưa chạy</t>
        </is>
      </c>
      <c r="N277" s="11" t="inlineStr"/>
      <c r="O277" s="11" t="inlineStr"/>
      <c r="P277" s="11" t="inlineStr"/>
    </row>
    <row r="278">
      <c r="A278" s="10" t="n">
        <v>277</v>
      </c>
      <c r="B278" s="10" t="inlineStr">
        <is>
          <t>TC-MET-INT-012</t>
        </is>
      </c>
      <c r="C278" s="10" t="inlineStr">
        <is>
          <t>Metrics</t>
        </is>
      </c>
      <c r="D278" s="10" t="inlineStr">
        <is>
          <t>Integration — Backend</t>
        </is>
      </c>
      <c r="E278" s="10" t="inlineStr">
        <is>
          <t>Xóa node</t>
        </is>
      </c>
      <c r="F278" s="10" t="inlineStr">
        <is>
          <t>Có dữ liệu</t>
        </is>
      </c>
      <c r="G278" s="10" t="inlineStr">
        <is>
          <t>Publish `NodeDeletedV1`</t>
        </is>
      </c>
      <c r="H278" s="10" t="inlineStr">
        <is>
          <t>—</t>
        </is>
      </c>
      <c r="I278" s="10" t="inlineStr">
        <is>
          <t>Dữ liệu được đánh dấu lưu trữ, vẫn truy vấn được, xóa sau 30 ngày</t>
        </is>
      </c>
      <c r="J278" s="10" t="inlineStr">
        <is>
          <t>Functional</t>
        </is>
      </c>
      <c r="K278" s="10" t="inlineStr">
        <is>
          <t>P2 - Trung bình</t>
        </is>
      </c>
      <c r="L278" s="10" t="inlineStr">
        <is>
          <t>FR-MET-009</t>
        </is>
      </c>
      <c r="M278" s="11" t="inlineStr">
        <is>
          <t>Chưa chạy</t>
        </is>
      </c>
      <c r="N278" s="11" t="inlineStr"/>
      <c r="O278" s="11" t="inlineStr"/>
      <c r="P278" s="11" t="inlineStr"/>
    </row>
    <row r="279">
      <c r="A279" s="10" t="n">
        <v>278</v>
      </c>
      <c r="B279" s="10" t="inlineStr">
        <is>
          <t>TC-MET-API-001</t>
        </is>
      </c>
      <c r="C279" s="10" t="inlineStr">
        <is>
          <t>Metrics</t>
        </is>
      </c>
      <c r="D279" s="10" t="inlineStr">
        <is>
          <t>API — Backend</t>
        </is>
      </c>
      <c r="E279" s="10" t="inlineStr">
        <is>
          <t>Metric mới nhất toàn hệ thống</t>
        </is>
      </c>
      <c r="F279" s="10" t="inlineStr">
        <is>
          <t>50 node có dữ liệu</t>
        </is>
      </c>
      <c r="G279" s="10" t="inlineStr">
        <is>
          <t>`GET /metrics/latest`</t>
        </is>
      </c>
      <c r="H279" s="10" t="inlineStr">
        <is>
          <t>—</t>
        </is>
      </c>
      <c r="I279" s="10" t="inlineStr">
        <is>
          <t>200, 50 phần tử, mỗi phần tử có `status`, `isStale`, `collectedAt`</t>
        </is>
      </c>
      <c r="J279" s="10" t="inlineStr">
        <is>
          <t>Functional</t>
        </is>
      </c>
      <c r="K279" s="10" t="inlineStr">
        <is>
          <t>P1 - Cao</t>
        </is>
      </c>
      <c r="L279" s="10" t="inlineStr">
        <is>
          <t>FR-MET-004</t>
        </is>
      </c>
      <c r="M279" s="11" t="inlineStr">
        <is>
          <t>Chưa chạy</t>
        </is>
      </c>
      <c r="N279" s="11" t="inlineStr"/>
      <c r="O279" s="11" t="inlineStr"/>
      <c r="P279" s="11" t="inlineStr"/>
    </row>
    <row r="280">
      <c r="A280" s="10" t="n">
        <v>279</v>
      </c>
      <c r="B280" s="10" t="inlineStr">
        <is>
          <t>TC-MET-API-002</t>
        </is>
      </c>
      <c r="C280" s="10" t="inlineStr">
        <is>
          <t>Metrics</t>
        </is>
      </c>
      <c r="D280" s="10" t="inlineStr">
        <is>
          <t>API — Backend</t>
        </is>
      </c>
      <c r="E280" s="10" t="inlineStr">
        <is>
          <t>Cờ dữ liệu cũ</t>
        </is>
      </c>
      <c r="F280" s="10" t="inlineStr">
        <is>
          <t>Node không có dữ liệu 20 phút (chu kỳ 5 phút)</t>
        </is>
      </c>
      <c r="G280" s="10" t="inlineStr">
        <is>
          <t>`GET /metrics/latest`</t>
        </is>
      </c>
      <c r="H280" s="10" t="inlineStr">
        <is>
          <t>—</t>
        </is>
      </c>
      <c r="I280" s="10" t="inlineStr">
        <is>
          <t>`isStale = true` cho node đó</t>
        </is>
      </c>
      <c r="J280" s="10" t="inlineStr">
        <is>
          <t>Functional</t>
        </is>
      </c>
      <c r="K280" s="10" t="inlineStr">
        <is>
          <t>P2 - Trung bình</t>
        </is>
      </c>
      <c r="L280" s="10" t="inlineStr">
        <is>
          <t>FR-MET-004</t>
        </is>
      </c>
      <c r="M280" s="11" t="inlineStr">
        <is>
          <t>Chưa chạy</t>
        </is>
      </c>
      <c r="N280" s="11" t="inlineStr"/>
      <c r="O280" s="11" t="inlineStr"/>
      <c r="P280" s="11" t="inlineStr"/>
    </row>
    <row r="281">
      <c r="A281" s="10" t="n">
        <v>280</v>
      </c>
      <c r="B281" s="10" t="inlineStr">
        <is>
          <t>TC-MET-API-003</t>
        </is>
      </c>
      <c r="C281" s="10" t="inlineStr">
        <is>
          <t>Metrics</t>
        </is>
      </c>
      <c r="D281" s="10" t="inlineStr">
        <is>
          <t>API — Backend</t>
        </is>
      </c>
      <c r="E281" s="10" t="inlineStr">
        <is>
          <t>Cache Redis</t>
        </is>
      </c>
      <c r="F281" s="10" t="inlineStr">
        <is>
          <t>—</t>
        </is>
      </c>
      <c r="G281" s="10" t="inlineStr">
        <is>
          <t>Gọi `metrics/latest` 2 lần trong 5 giây</t>
        </is>
      </c>
      <c r="H281" s="10" t="inlineStr">
        <is>
          <t>—</t>
        </is>
      </c>
      <c r="I281" s="10" t="inlineStr">
        <is>
          <t>Lần 2 phục vụ từ cache, không truy vấn DB; độ trễ giảm rõ rệt</t>
        </is>
      </c>
      <c r="J281" s="10" t="inlineStr">
        <is>
          <t>Performance</t>
        </is>
      </c>
      <c r="K281" s="10" t="inlineStr">
        <is>
          <t>P2 - Trung bình</t>
        </is>
      </c>
      <c r="L281" s="10" t="inlineStr">
        <is>
          <t>FR-MET-012</t>
        </is>
      </c>
      <c r="M281" s="11" t="inlineStr">
        <is>
          <t>Chưa chạy</t>
        </is>
      </c>
      <c r="N281" s="11" t="inlineStr"/>
      <c r="O281" s="11" t="inlineStr"/>
      <c r="P281" s="11" t="inlineStr"/>
    </row>
    <row r="282">
      <c r="A282" s="10" t="n">
        <v>281</v>
      </c>
      <c r="B282" s="10" t="inlineStr">
        <is>
          <t>TC-MET-API-004</t>
        </is>
      </c>
      <c r="C282" s="10" t="inlineStr">
        <is>
          <t>Metrics</t>
        </is>
      </c>
      <c r="D282" s="10" t="inlineStr">
        <is>
          <t>API — Backend</t>
        </is>
      </c>
      <c r="E282" s="10" t="inlineStr">
        <is>
          <t>Tổng hợp sức khỏe</t>
        </is>
      </c>
      <c r="F282" s="10" t="inlineStr">
        <is>
          <t>Có node ở nhiều trạng thái</t>
        </is>
      </c>
      <c r="G282" s="10" t="inlineStr">
        <is>
          <t>`GET /metrics/health-summary`</t>
        </is>
      </c>
      <c r="H282" s="10" t="inlineStr">
        <is>
          <t>—</t>
        </is>
      </c>
      <c r="I282" s="10" t="inlineStr">
        <is>
          <t>Số đếm đúng theo từng trạng thái</t>
        </is>
      </c>
      <c r="J282" s="10" t="inlineStr">
        <is>
          <t>Functional</t>
        </is>
      </c>
      <c r="K282" s="10" t="inlineStr">
        <is>
          <t>P1 - Cao</t>
        </is>
      </c>
      <c r="L282" s="10" t="inlineStr">
        <is>
          <t>FR-MET-004</t>
        </is>
      </c>
      <c r="M282" s="11" t="inlineStr">
        <is>
          <t>Chưa chạy</t>
        </is>
      </c>
      <c r="N282" s="11" t="inlineStr"/>
      <c r="O282" s="11" t="inlineStr"/>
      <c r="P282" s="11" t="inlineStr"/>
    </row>
    <row r="283">
      <c r="A283" s="10" t="n">
        <v>282</v>
      </c>
      <c r="B283" s="10" t="inlineStr">
        <is>
          <t>TC-MET-API-005</t>
        </is>
      </c>
      <c r="C283" s="10" t="inlineStr">
        <is>
          <t>Metrics</t>
        </is>
      </c>
      <c r="D283" s="10" t="inlineStr">
        <is>
          <t>API — Backend</t>
        </is>
      </c>
      <c r="E283" s="10" t="inlineStr">
        <is>
          <t>Lịch sử 24h dùng dữ liệu thô</t>
        </is>
      </c>
      <c r="F283" s="10" t="inlineStr">
        <is>
          <t>Node có 288 snapshot</t>
        </is>
      </c>
      <c r="G283" s="10" t="inlineStr">
        <is>
          <t>`GET /nodes/{id}/metrics?range=24h`</t>
        </is>
      </c>
      <c r="H283" s="10" t="inlineStr">
        <is>
          <t>—</t>
        </is>
      </c>
      <c r="I283" s="10" t="inlineStr">
        <is>
          <t>200, `resolution="5m"`, ≤ 288 điểm</t>
        </is>
      </c>
      <c r="J283" s="10" t="inlineStr">
        <is>
          <t>Functional</t>
        </is>
      </c>
      <c r="K283" s="10" t="inlineStr">
        <is>
          <t>P1 - Cao</t>
        </is>
      </c>
      <c r="L283" s="10" t="inlineStr">
        <is>
          <t>FR-MET-005, 006</t>
        </is>
      </c>
      <c r="M283" s="11" t="inlineStr">
        <is>
          <t>Chưa chạy</t>
        </is>
      </c>
      <c r="N283" s="11" t="inlineStr"/>
      <c r="O283" s="11" t="inlineStr"/>
      <c r="P283" s="11" t="inlineStr"/>
    </row>
    <row r="284">
      <c r="A284" s="10" t="n">
        <v>283</v>
      </c>
      <c r="B284" s="10" t="inlineStr">
        <is>
          <t>TC-MET-API-006</t>
        </is>
      </c>
      <c r="C284" s="10" t="inlineStr">
        <is>
          <t>Metrics</t>
        </is>
      </c>
      <c r="D284" s="10" t="inlineStr">
        <is>
          <t>API — Backend</t>
        </is>
      </c>
      <c r="E284" s="10" t="inlineStr">
        <is>
          <t>Lịch sử 7 ngày dùng rollup</t>
        </is>
      </c>
      <c r="F284" s="10" t="inlineStr">
        <is>
          <t>Có rollup 7 ngày</t>
        </is>
      </c>
      <c r="G284" s="10" t="inlineStr">
        <is>
          <t>`range=7d`</t>
        </is>
      </c>
      <c r="H284" s="10" t="inlineStr">
        <is>
          <t>—</t>
        </is>
      </c>
      <c r="I284" s="10" t="inlineStr">
        <is>
          <t>`resolution="1h"`, ≈ 168 điểm, có `avg` và `max`</t>
        </is>
      </c>
      <c r="J284" s="10" t="inlineStr">
        <is>
          <t>Functional</t>
        </is>
      </c>
      <c r="K284" s="10" t="inlineStr">
        <is>
          <t>P1 - Cao</t>
        </is>
      </c>
      <c r="L284" s="10" t="inlineStr">
        <is>
          <t>FR-MET-006</t>
        </is>
      </c>
      <c r="M284" s="11" t="inlineStr">
        <is>
          <t>Chưa chạy</t>
        </is>
      </c>
      <c r="N284" s="11" t="inlineStr"/>
      <c r="O284" s="11" t="inlineStr"/>
      <c r="P284" s="11" t="inlineStr"/>
    </row>
    <row r="285">
      <c r="A285" s="10" t="n">
        <v>284</v>
      </c>
      <c r="B285" s="10" t="inlineStr">
        <is>
          <t>TC-MET-API-007</t>
        </is>
      </c>
      <c r="C285" s="10" t="inlineStr">
        <is>
          <t>Metrics</t>
        </is>
      </c>
      <c r="D285" s="10" t="inlineStr">
        <is>
          <t>API — Backend</t>
        </is>
      </c>
      <c r="E285" s="10" t="inlineStr">
        <is>
          <t>Lịch sử 30 ngày</t>
        </is>
      </c>
      <c r="F285" s="10" t="inlineStr">
        <is>
          <t>Có rollup 30 ngày</t>
        </is>
      </c>
      <c r="G285" s="10" t="inlineStr">
        <is>
          <t>`range=30d`</t>
        </is>
      </c>
      <c r="H285" s="10" t="inlineStr">
        <is>
          <t>—</t>
        </is>
      </c>
      <c r="I285" s="10" t="inlineStr">
        <is>
          <t>≤ 500 điểm, `resolution` ≥ 1h</t>
        </is>
      </c>
      <c r="J285" s="10" t="inlineStr">
        <is>
          <t>Performance</t>
        </is>
      </c>
      <c r="K285" s="10" t="inlineStr">
        <is>
          <t>P1 - Cao</t>
        </is>
      </c>
      <c r="L285" s="10" t="inlineStr">
        <is>
          <t>BR-MET-005</t>
        </is>
      </c>
      <c r="M285" s="11" t="inlineStr">
        <is>
          <t>Chưa chạy</t>
        </is>
      </c>
      <c r="N285" s="11" t="inlineStr"/>
      <c r="O285" s="11" t="inlineStr"/>
      <c r="P285" s="11" t="inlineStr"/>
    </row>
    <row r="286">
      <c r="A286" s="10" t="n">
        <v>285</v>
      </c>
      <c r="B286" s="10" t="inlineStr">
        <is>
          <t>TC-MET-API-008</t>
        </is>
      </c>
      <c r="C286" s="10" t="inlineStr">
        <is>
          <t>Metrics</t>
        </is>
      </c>
      <c r="D286" s="10" t="inlineStr">
        <is>
          <t>API — Backend</t>
        </is>
      </c>
      <c r="E286" s="10" t="inlineStr">
        <is>
          <t>Khoảng tùy chỉnh</t>
        </is>
      </c>
      <c r="F286" s="10" t="inlineStr">
        <is>
          <t>—</t>
        </is>
      </c>
      <c r="G286" s="10" t="inlineStr">
        <is>
          <t>`?from=…&amp;to=…` (3 ngày)</t>
        </is>
      </c>
      <c r="H286" s="10" t="inlineStr">
        <is>
          <t>—</t>
        </is>
      </c>
      <c r="I286" s="10" t="inlineStr">
        <is>
          <t>200, dữ liệu trong đúng khoảng</t>
        </is>
      </c>
      <c r="J286" s="10" t="inlineStr">
        <is>
          <t>Functional</t>
        </is>
      </c>
      <c r="K286" s="10" t="inlineStr">
        <is>
          <t>P2 - Trung bình</t>
        </is>
      </c>
      <c r="L286" s="10" t="inlineStr">
        <is>
          <t>FR-MET-005</t>
        </is>
      </c>
      <c r="M286" s="11" t="inlineStr">
        <is>
          <t>Chưa chạy</t>
        </is>
      </c>
      <c r="N286" s="11" t="inlineStr"/>
      <c r="O286" s="11" t="inlineStr"/>
      <c r="P286" s="11" t="inlineStr"/>
    </row>
    <row r="287">
      <c r="A287" s="10" t="n">
        <v>286</v>
      </c>
      <c r="B287" s="10" t="inlineStr">
        <is>
          <t>TC-MET-API-009</t>
        </is>
      </c>
      <c r="C287" s="10" t="inlineStr">
        <is>
          <t>Metrics</t>
        </is>
      </c>
      <c r="D287" s="10" t="inlineStr">
        <is>
          <t>API — Backend</t>
        </is>
      </c>
      <c r="E287" s="10" t="inlineStr">
        <is>
          <t>`range` và `from/to` cùng lúc</t>
        </is>
      </c>
      <c r="F287" s="10" t="inlineStr">
        <is>
          <t>—</t>
        </is>
      </c>
      <c r="G287" s="10" t="inlineStr">
        <is>
          <t>Gửi cả hai</t>
        </is>
      </c>
      <c r="H287" s="10" t="inlineStr">
        <is>
          <t>—</t>
        </is>
      </c>
      <c r="I287" s="10" t="inlineStr">
        <is>
          <t>400 `SOE-MET-400`</t>
        </is>
      </c>
      <c r="J287" s="10" t="inlineStr">
        <is>
          <t>Validation</t>
        </is>
      </c>
      <c r="K287" s="10" t="inlineStr">
        <is>
          <t>P2 - Trung bình</t>
        </is>
      </c>
      <c r="L287" s="10" t="inlineStr">
        <is>
          <t>BR-MET-003</t>
        </is>
      </c>
      <c r="M287" s="11" t="inlineStr">
        <is>
          <t>Chưa chạy</t>
        </is>
      </c>
      <c r="N287" s="11" t="inlineStr"/>
      <c r="O287" s="11" t="inlineStr"/>
      <c r="P287" s="11" t="inlineStr"/>
    </row>
    <row r="288">
      <c r="A288" s="10" t="n">
        <v>287</v>
      </c>
      <c r="B288" s="10" t="inlineStr">
        <is>
          <t>TC-MET-API-010</t>
        </is>
      </c>
      <c r="C288" s="10" t="inlineStr">
        <is>
          <t>Metrics</t>
        </is>
      </c>
      <c r="D288" s="10" t="inlineStr">
        <is>
          <t>API — Backend</t>
        </is>
      </c>
      <c r="E288" s="10" t="inlineStr">
        <is>
          <t>Khoảng &gt; 90 ngày</t>
        </is>
      </c>
      <c r="F288" s="10" t="inlineStr">
        <is>
          <t>—</t>
        </is>
      </c>
      <c r="G288" s="10" t="inlineStr">
        <is>
          <t>`from` cách 120 ngày</t>
        </is>
      </c>
      <c r="H288" s="10" t="inlineStr">
        <is>
          <t>—</t>
        </is>
      </c>
      <c r="I288" s="10" t="inlineStr">
        <is>
          <t>400 với thông báo giới hạn</t>
        </is>
      </c>
      <c r="J288" s="10" t="inlineStr">
        <is>
          <t>Validation</t>
        </is>
      </c>
      <c r="K288" s="10" t="inlineStr">
        <is>
          <t>P1 - Cao</t>
        </is>
      </c>
      <c r="L288" s="10" t="inlineStr">
        <is>
          <t>BR-MET-004</t>
        </is>
      </c>
      <c r="M288" s="11" t="inlineStr">
        <is>
          <t>Chưa chạy</t>
        </is>
      </c>
      <c r="N288" s="11" t="inlineStr"/>
      <c r="O288" s="11" t="inlineStr"/>
      <c r="P288" s="11" t="inlineStr"/>
    </row>
    <row r="289">
      <c r="A289" s="10" t="n">
        <v>288</v>
      </c>
      <c r="B289" s="10" t="inlineStr">
        <is>
          <t>TC-MET-API-011</t>
        </is>
      </c>
      <c r="C289" s="10" t="inlineStr">
        <is>
          <t>Metrics</t>
        </is>
      </c>
      <c r="D289" s="10" t="inlineStr">
        <is>
          <t>API — Backend</t>
        </is>
      </c>
      <c r="E289" s="10" t="inlineStr">
        <is>
          <t>`range` không hợp lệ</t>
        </is>
      </c>
      <c r="F289" s="10" t="inlineStr">
        <is>
          <t>—</t>
        </is>
      </c>
      <c r="G289" s="10" t="inlineStr">
        <is>
          <t>`range=99y`</t>
        </is>
      </c>
      <c r="H289" s="10" t="inlineStr">
        <is>
          <t>—</t>
        </is>
      </c>
      <c r="I289" s="10" t="inlineStr">
        <is>
          <t>400</t>
        </is>
      </c>
      <c r="J289" s="10" t="inlineStr">
        <is>
          <t>Validation</t>
        </is>
      </c>
      <c r="K289" s="10" t="inlineStr">
        <is>
          <t>P2 - Trung bình</t>
        </is>
      </c>
      <c r="L289" s="10" t="inlineStr">
        <is>
          <t>SRS §5</t>
        </is>
      </c>
      <c r="M289" s="11" t="inlineStr">
        <is>
          <t>Chưa chạy</t>
        </is>
      </c>
      <c r="N289" s="11" t="inlineStr"/>
      <c r="O289" s="11" t="inlineStr"/>
      <c r="P289" s="11" t="inlineStr"/>
    </row>
    <row r="290">
      <c r="A290" s="10" t="n">
        <v>289</v>
      </c>
      <c r="B290" s="10" t="inlineStr">
        <is>
          <t>TC-MET-API-012</t>
        </is>
      </c>
      <c r="C290" s="10" t="inlineStr">
        <is>
          <t>Metrics</t>
        </is>
      </c>
      <c r="D290" s="10" t="inlineStr">
        <is>
          <t>API — Backend</t>
        </is>
      </c>
      <c r="E290" s="10" t="inlineStr">
        <is>
          <t>`maxPoints` vượt giới hạn</t>
        </is>
      </c>
      <c r="F290" s="10" t="inlineStr">
        <is>
          <t>—</t>
        </is>
      </c>
      <c r="G290" s="10" t="inlineStr">
        <is>
          <t>`maxPoints=100000`</t>
        </is>
      </c>
      <c r="H290" s="10" t="inlineStr">
        <is>
          <t>—</t>
        </is>
      </c>
      <c r="I290" s="10" t="inlineStr">
        <is>
          <t>400 hoặc giới hạn về 500</t>
        </is>
      </c>
      <c r="J290" s="10" t="inlineStr">
        <is>
          <t>Security</t>
        </is>
      </c>
      <c r="K290" s="10" t="inlineStr">
        <is>
          <t>P2 - Trung bình</t>
        </is>
      </c>
      <c r="L290" s="10" t="inlineStr">
        <is>
          <t>OWASP API4</t>
        </is>
      </c>
      <c r="M290" s="11" t="inlineStr">
        <is>
          <t>Chưa chạy</t>
        </is>
      </c>
      <c r="N290" s="11" t="inlineStr"/>
      <c r="O290" s="11" t="inlineStr"/>
      <c r="P290" s="11" t="inlineStr"/>
    </row>
    <row r="291">
      <c r="A291" s="10" t="n">
        <v>290</v>
      </c>
      <c r="B291" s="10" t="inlineStr">
        <is>
          <t>TC-MET-API-013</t>
        </is>
      </c>
      <c r="C291" s="10" t="inlineStr">
        <is>
          <t>Metrics</t>
        </is>
      </c>
      <c r="D291" s="10" t="inlineStr">
        <is>
          <t>API — Backend</t>
        </is>
      </c>
      <c r="E291" s="10" t="inlineStr">
        <is>
          <t>Lọc theo metric</t>
        </is>
      </c>
      <c r="F291" s="10" t="inlineStr">
        <is>
          <t>—</t>
        </is>
      </c>
      <c r="G291" s="10" t="inlineStr">
        <is>
          <t>`?metrics=disk`</t>
        </is>
      </c>
      <c r="H291" s="10" t="inlineStr">
        <is>
          <t>—</t>
        </is>
      </c>
      <c r="I291" s="10" t="inlineStr">
        <is>
          <t>Chỉ trả chuỗi `disk`</t>
        </is>
      </c>
      <c r="J291" s="10" t="inlineStr">
        <is>
          <t>Functional</t>
        </is>
      </c>
      <c r="K291" s="10" t="inlineStr">
        <is>
          <t>P3 - Thấp</t>
        </is>
      </c>
      <c r="L291" s="10" t="inlineStr">
        <is>
          <t>FR-MET-005</t>
        </is>
      </c>
      <c r="M291" s="11" t="inlineStr">
        <is>
          <t>Chưa chạy</t>
        </is>
      </c>
      <c r="N291" s="11" t="inlineStr"/>
      <c r="O291" s="11" t="inlineStr"/>
      <c r="P291" s="11" t="inlineStr"/>
    </row>
    <row r="292">
      <c r="A292" s="10" t="n">
        <v>291</v>
      </c>
      <c r="B292" s="10" t="inlineStr">
        <is>
          <t>TC-MET-API-014</t>
        </is>
      </c>
      <c r="C292" s="10" t="inlineStr">
        <is>
          <t>Metrics</t>
        </is>
      </c>
      <c r="D292" s="10" t="inlineStr">
        <is>
          <t>API — Backend</t>
        </is>
      </c>
      <c r="E292" s="10" t="inlineStr">
        <is>
          <t>Node không tồn tại</t>
        </is>
      </c>
      <c r="F292" s="10" t="inlineStr">
        <is>
          <t>—</t>
        </is>
      </c>
      <c r="G292" s="10" t="inlineStr">
        <is>
          <t>`GET /nodes/{guid-lạ}/metrics`</t>
        </is>
      </c>
      <c r="H292" s="10" t="inlineStr">
        <is>
          <t>—</t>
        </is>
      </c>
      <c r="I292" s="10" t="inlineStr">
        <is>
          <t>404 `SOE-MET-404`</t>
        </is>
      </c>
      <c r="J292" s="10" t="inlineStr">
        <is>
          <t>Functional</t>
        </is>
      </c>
      <c r="K292" s="10" t="inlineStr">
        <is>
          <t>P2 - Trung bình</t>
        </is>
      </c>
      <c r="L292" s="10" t="inlineStr">
        <is>
          <t>—</t>
        </is>
      </c>
      <c r="M292" s="11" t="inlineStr">
        <is>
          <t>Chưa chạy</t>
        </is>
      </c>
      <c r="N292" s="11" t="inlineStr"/>
      <c r="O292" s="11" t="inlineStr"/>
      <c r="P292" s="11" t="inlineStr"/>
    </row>
    <row r="293">
      <c r="A293" s="10" t="n">
        <v>292</v>
      </c>
      <c r="B293" s="10" t="inlineStr">
        <is>
          <t>TC-MET-API-015</t>
        </is>
      </c>
      <c r="C293" s="10" t="inlineStr">
        <is>
          <t>Metrics</t>
        </is>
      </c>
      <c r="D293" s="10" t="inlineStr">
        <is>
          <t>API — Backend</t>
        </is>
      </c>
      <c r="E293" s="10" t="inlineStr">
        <is>
          <t>Không có dữ liệu</t>
        </is>
      </c>
      <c r="F293" s="10" t="inlineStr">
        <is>
          <t>Node mới tạo</t>
        </is>
      </c>
      <c r="G293" s="10" t="inlineStr">
        <is>
          <t>`GET /nodes/{id}/metrics?range=24h`</t>
        </is>
      </c>
      <c r="H293" s="10" t="inlineStr">
        <is>
          <t>—</t>
        </is>
      </c>
      <c r="I293" s="10" t="inlineStr">
        <is>
          <t>200 với mảng rỗng (không phải 404)</t>
        </is>
      </c>
      <c r="J293" s="10" t="inlineStr">
        <is>
          <t>Functional</t>
        </is>
      </c>
      <c r="K293" s="10" t="inlineStr">
        <is>
          <t>P2 - Trung bình</t>
        </is>
      </c>
      <c r="L293" s="10" t="inlineStr">
        <is>
          <t>UC-MET-02/A1</t>
        </is>
      </c>
      <c r="M293" s="11" t="inlineStr">
        <is>
          <t>Chưa chạy</t>
        </is>
      </c>
      <c r="N293" s="11" t="inlineStr"/>
      <c r="O293" s="11" t="inlineStr"/>
      <c r="P293" s="11" t="inlineStr"/>
    </row>
    <row r="294">
      <c r="A294" s="10" t="n">
        <v>293</v>
      </c>
      <c r="B294" s="10" t="inlineStr">
        <is>
          <t>TC-MET-API-016</t>
        </is>
      </c>
      <c r="C294" s="10" t="inlineStr">
        <is>
          <t>Metrics</t>
        </is>
      </c>
      <c r="D294" s="10" t="inlineStr">
        <is>
          <t>API — Backend</t>
        </is>
      </c>
      <c r="E294" s="10" t="inlineStr">
        <is>
          <t>Tóm tắt &amp; dự báo</t>
        </is>
      </c>
      <c r="F294" s="10" t="inlineStr">
        <is>
          <t>Node có 7 ngày dữ liệu đĩa tăng dần</t>
        </is>
      </c>
      <c r="G294" s="10" t="inlineStr">
        <is>
          <t>`GET /nodes/{id}/metrics/summary`</t>
        </is>
      </c>
      <c r="H294" s="10" t="inlineStr">
        <is>
          <t>—</t>
        </is>
      </c>
      <c r="I294" s="10" t="inlineStr">
        <is>
          <t>Trả `avg24h`, `peak24h`, `diskTrendPerDay` &gt; 0, `diskFullEtaDays` hợp lý</t>
        </is>
      </c>
      <c r="J294" s="10" t="inlineStr">
        <is>
          <t>Functional</t>
        </is>
      </c>
      <c r="K294" s="10" t="inlineStr">
        <is>
          <t>P3 - Thấp</t>
        </is>
      </c>
      <c r="L294" s="10" t="inlineStr">
        <is>
          <t>FR-MET-010</t>
        </is>
      </c>
      <c r="M294" s="11" t="inlineStr">
        <is>
          <t>Chưa chạy</t>
        </is>
      </c>
      <c r="N294" s="11" t="inlineStr"/>
      <c r="O294" s="11" t="inlineStr"/>
      <c r="P294" s="11" t="inlineStr"/>
    </row>
    <row r="295">
      <c r="A295" s="10" t="n">
        <v>294</v>
      </c>
      <c r="B295" s="10" t="inlineStr">
        <is>
          <t>TC-MET-API-017</t>
        </is>
      </c>
      <c r="C295" s="10" t="inlineStr">
        <is>
          <t>Metrics</t>
        </is>
      </c>
      <c r="D295" s="10" t="inlineStr">
        <is>
          <t>API — Backend</t>
        </is>
      </c>
      <c r="E295" s="10" t="inlineStr">
        <is>
          <t>Xuất CSV</t>
        </is>
      </c>
      <c r="F295" s="10" t="inlineStr">
        <is>
          <t>OPERATOR</t>
        </is>
      </c>
      <c r="G295" s="10" t="inlineStr">
        <is>
          <t>`GET /nodes/{id}/metrics/export?from=&amp;to=`</t>
        </is>
      </c>
      <c r="H295" s="10" t="inlineStr">
        <is>
          <t>—</t>
        </is>
      </c>
      <c r="I295" s="10" t="inlineStr">
        <is>
          <t>200, `Content-Disposition` đúng, dòng đầu là tiêu đề cột</t>
        </is>
      </c>
      <c r="J295" s="10" t="inlineStr">
        <is>
          <t>Functional</t>
        </is>
      </c>
      <c r="K295" s="10" t="inlineStr">
        <is>
          <t>P3 - Thấp</t>
        </is>
      </c>
      <c r="L295" s="10" t="inlineStr">
        <is>
          <t>FR-MET-011</t>
        </is>
      </c>
      <c r="M295" s="11" t="inlineStr">
        <is>
          <t>Chưa chạy</t>
        </is>
      </c>
      <c r="N295" s="11" t="inlineStr"/>
      <c r="O295" s="11" t="inlineStr"/>
      <c r="P295" s="11" t="inlineStr"/>
    </row>
    <row r="296">
      <c r="A296" s="10" t="n">
        <v>295</v>
      </c>
      <c r="B296" s="10" t="inlineStr">
        <is>
          <t>TC-MET-API-018</t>
        </is>
      </c>
      <c r="C296" s="10" t="inlineStr">
        <is>
          <t>Metrics</t>
        </is>
      </c>
      <c r="D296" s="10" t="inlineStr">
        <is>
          <t>API — Backend</t>
        </is>
      </c>
      <c r="E296" s="10" t="inlineStr">
        <is>
          <t>Xuất CSV vượt giới hạn</t>
        </is>
      </c>
      <c r="F296" s="10" t="inlineStr">
        <is>
          <t>Khoảng rất lớn</t>
        </is>
      </c>
      <c r="G296" s="10" t="inlineStr">
        <is>
          <t>như trên</t>
        </is>
      </c>
      <c r="H296" s="10" t="inlineStr">
        <is>
          <t>—</t>
        </is>
      </c>
      <c r="I296" s="10" t="inlineStr">
        <is>
          <t>400 gợi ý thu hẹp khoảng</t>
        </is>
      </c>
      <c r="J296" s="10" t="inlineStr">
        <is>
          <t>Validation</t>
        </is>
      </c>
      <c r="K296" s="10" t="inlineStr">
        <is>
          <t>P3 - Thấp</t>
        </is>
      </c>
      <c r="L296" s="10" t="inlineStr">
        <is>
          <t>FR-MET-011</t>
        </is>
      </c>
      <c r="M296" s="11" t="inlineStr">
        <is>
          <t>Chưa chạy</t>
        </is>
      </c>
      <c r="N296" s="11" t="inlineStr"/>
      <c r="O296" s="11" t="inlineStr"/>
      <c r="P296" s="11" t="inlineStr"/>
    </row>
    <row r="297">
      <c r="A297" s="10" t="n">
        <v>296</v>
      </c>
      <c r="B297" s="10" t="inlineStr">
        <is>
          <t>TC-MET-API-019</t>
        </is>
      </c>
      <c r="C297" s="10" t="inlineStr">
        <is>
          <t>Metrics</t>
        </is>
      </c>
      <c r="D297" s="10" t="inlineStr">
        <is>
          <t>API — Backend</t>
        </is>
      </c>
      <c r="E297" s="10" t="inlineStr">
        <is>
          <t>VIEWER xuất CSV</t>
        </is>
      </c>
      <c r="F297" s="10" t="inlineStr">
        <is>
          <t>Đăng nhập VIEWER</t>
        </is>
      </c>
      <c r="G297" s="10" t="inlineStr">
        <is>
          <t>như trên</t>
        </is>
      </c>
      <c r="H297" s="10" t="inlineStr">
        <is>
          <t>—</t>
        </is>
      </c>
      <c r="I297" s="10" t="inlineStr">
        <is>
          <t>403</t>
        </is>
      </c>
      <c r="J297" s="10" t="inlineStr">
        <is>
          <t>Security</t>
        </is>
      </c>
      <c r="K297" s="10" t="inlineStr">
        <is>
          <t>P2 - Trung bình</t>
        </is>
      </c>
      <c r="L297" s="10" t="inlineStr">
        <is>
          <t>RBAC</t>
        </is>
      </c>
      <c r="M297" s="11" t="inlineStr">
        <is>
          <t>Chưa chạy</t>
        </is>
      </c>
      <c r="N297" s="11" t="inlineStr"/>
      <c r="O297" s="11" t="inlineStr"/>
      <c r="P297" s="11" t="inlineStr"/>
    </row>
    <row r="298">
      <c r="A298" s="10" t="n">
        <v>297</v>
      </c>
      <c r="B298" s="10" t="inlineStr">
        <is>
          <t>TC-MET-API-020</t>
        </is>
      </c>
      <c r="C298" s="10" t="inlineStr">
        <is>
          <t>Metrics</t>
        </is>
      </c>
      <c r="D298" s="10" t="inlineStr">
        <is>
          <t>API — Backend</t>
        </is>
      </c>
      <c r="E298" s="10" t="inlineStr">
        <is>
          <t>Quyền đọc metric</t>
        </is>
      </c>
      <c r="F298" s="10" t="inlineStr">
        <is>
          <t>VIEWER</t>
        </is>
      </c>
      <c r="G298" s="10" t="inlineStr">
        <is>
          <t>`GET /metrics/latest`</t>
        </is>
      </c>
      <c r="H298" s="10" t="inlineStr">
        <is>
          <t>—</t>
        </is>
      </c>
      <c r="I298" s="10" t="inlineStr">
        <is>
          <t>200 (VIEWER được xem)</t>
        </is>
      </c>
      <c r="J298" s="10" t="inlineStr">
        <is>
          <t>Security</t>
        </is>
      </c>
      <c r="K298" s="10" t="inlineStr">
        <is>
          <t>P1 - Cao</t>
        </is>
      </c>
      <c r="L298" s="10" t="inlineStr">
        <is>
          <t>RBAC</t>
        </is>
      </c>
      <c r="M298" s="11" t="inlineStr">
        <is>
          <t>Chưa chạy</t>
        </is>
      </c>
      <c r="N298" s="11" t="inlineStr"/>
      <c r="O298" s="11" t="inlineStr"/>
      <c r="P298" s="11" t="inlineStr"/>
    </row>
    <row r="299">
      <c r="A299" s="10" t="n">
        <v>298</v>
      </c>
      <c r="B299" s="10" t="inlineStr">
        <is>
          <t>TC-MET-PERF-001</t>
        </is>
      </c>
      <c r="C299" s="10" t="inlineStr">
        <is>
          <t>Metrics</t>
        </is>
      </c>
      <c r="D299" s="10" t="inlineStr">
        <is>
          <t>Performance — Backend</t>
        </is>
      </c>
      <c r="E299" s="10" t="inlineStr">
        <is>
          <t>Độ trễ `metrics/latest`</t>
        </is>
      </c>
      <c r="F299" s="10" t="inlineStr">
        <is>
          <t>500 node, 30 người dùng</t>
        </is>
      </c>
      <c r="G299" s="10" t="inlineStr">
        <is>
          <t>k6 60 giây</t>
        </is>
      </c>
      <c r="H299" s="10" t="inlineStr">
        <is>
          <t>—</t>
        </is>
      </c>
      <c r="I299" s="10" t="inlineStr">
        <is>
          <t>p95 ≤ 400 ms, lỗi 0%</t>
        </is>
      </c>
      <c r="J299" s="10" t="inlineStr">
        <is>
          <t>Performance</t>
        </is>
      </c>
      <c r="K299" s="10" t="inlineStr">
        <is>
          <t>P1 - Cao</t>
        </is>
      </c>
      <c r="L299" s="10" t="inlineStr">
        <is>
          <t>NFR-PERF-003</t>
        </is>
      </c>
      <c r="M299" s="11" t="inlineStr">
        <is>
          <t>Chưa chạy</t>
        </is>
      </c>
      <c r="N299" s="11" t="inlineStr"/>
      <c r="O299" s="11" t="inlineStr"/>
      <c r="P299" s="11" t="inlineStr"/>
    </row>
    <row r="300">
      <c r="A300" s="10" t="n">
        <v>299</v>
      </c>
      <c r="B300" s="10" t="inlineStr">
        <is>
          <t>TC-MET-PERF-002</t>
        </is>
      </c>
      <c r="C300" s="10" t="inlineStr">
        <is>
          <t>Metrics</t>
        </is>
      </c>
      <c r="D300" s="10" t="inlineStr">
        <is>
          <t>Performance — Backend</t>
        </is>
      </c>
      <c r="E300" s="10" t="inlineStr">
        <is>
          <t>Truy vấn 30 ngày</t>
        </is>
      </c>
      <c r="F300" s="10" t="inlineStr">
        <is>
          <t>500 node × 90 ngày dữ liệu</t>
        </is>
      </c>
      <c r="G300" s="10" t="inlineStr">
        <is>
          <t>k6</t>
        </is>
      </c>
      <c r="H300" s="10" t="inlineStr">
        <is>
          <t>—</t>
        </is>
      </c>
      <c r="I300" s="10" t="inlineStr">
        <is>
          <t>p95 ≤ 700 ms</t>
        </is>
      </c>
      <c r="J300" s="10" t="inlineStr">
        <is>
          <t>Performance</t>
        </is>
      </c>
      <c r="K300" s="10" t="inlineStr">
        <is>
          <t>P1 - Cao</t>
        </is>
      </c>
      <c r="L300" s="10" t="inlineStr">
        <is>
          <t>NFR-PERF-004</t>
        </is>
      </c>
      <c r="M300" s="11" t="inlineStr">
        <is>
          <t>Chưa chạy</t>
        </is>
      </c>
      <c r="N300" s="11" t="inlineStr"/>
      <c r="O300" s="11" t="inlineStr"/>
      <c r="P300" s="11" t="inlineStr"/>
    </row>
    <row r="301">
      <c r="A301" s="10" t="n">
        <v>300</v>
      </c>
      <c r="B301" s="10" t="inlineStr">
        <is>
          <t>TC-MET-PERF-003</t>
        </is>
      </c>
      <c r="C301" s="10" t="inlineStr">
        <is>
          <t>Metrics</t>
        </is>
      </c>
      <c r="D301" s="10" t="inlineStr">
        <is>
          <t>Performance — Backend</t>
        </is>
      </c>
      <c r="E301" s="10" t="inlineStr">
        <is>
          <t>Ghi 1.000 snapshot/phút</t>
        </is>
      </c>
      <c r="F301" s="10" t="inlineStr">
        <is>
          <t>—</t>
        </is>
      </c>
      <c r="G301" s="10" t="inlineStr">
        <is>
          <t>Bơm tải qua bus 10 phút</t>
        </is>
      </c>
      <c r="H301" s="10" t="inlineStr">
        <is>
          <t>—</t>
        </is>
      </c>
      <c r="I301" s="10" t="inlineStr">
        <is>
          <t>Queue không dồn &gt; 500; CPU pod &lt; 70%</t>
        </is>
      </c>
      <c r="J301" s="10" t="inlineStr">
        <is>
          <t>Performance</t>
        </is>
      </c>
      <c r="K301" s="10" t="inlineStr">
        <is>
          <t>P1 - Cao</t>
        </is>
      </c>
      <c r="L301" s="10" t="inlineStr">
        <is>
          <t>NFR-SCL-005</t>
        </is>
      </c>
      <c r="M301" s="11" t="inlineStr">
        <is>
          <t>Chưa chạy</t>
        </is>
      </c>
      <c r="N301" s="11" t="inlineStr"/>
      <c r="O301" s="11" t="inlineStr"/>
      <c r="P301" s="11" t="inlineStr"/>
    </row>
    <row r="302">
      <c r="A302" s="10" t="n">
        <v>301</v>
      </c>
      <c r="B302" s="10" t="inlineStr">
        <is>
          <t>TC-MET-E2E-001</t>
        </is>
      </c>
      <c r="C302" s="10" t="inlineStr">
        <is>
          <t>Metrics</t>
        </is>
      </c>
      <c r="D302" s="10" t="inlineStr">
        <is>
          <t>E2E (UI) — Frontend</t>
        </is>
      </c>
      <c r="E302" s="10" t="inlineStr">
        <is>
          <t>Dashboard hiển thị đầy đủ</t>
        </is>
      </c>
      <c r="F302" s="10" t="inlineStr">
        <is>
          <t>50 node có dữ liệu</t>
        </is>
      </c>
      <c r="G302" s="10" t="inlineStr">
        <is>
          <t>Mở `/app/dashboard`</t>
        </is>
      </c>
      <c r="H302" s="10" t="inlineStr">
        <is>
          <t>—</t>
        </is>
      </c>
      <c r="I302" s="10" t="inlineStr">
        <is>
          <t>Thẻ tổng quan, danh sách node, sự cố gần đây, trạng thái giám sát đều hiển thị đúng số liệu</t>
        </is>
      </c>
      <c r="J302" s="10" t="inlineStr">
        <is>
          <t>Functional</t>
        </is>
      </c>
      <c r="K302" s="10" t="inlineStr">
        <is>
          <t>P1 - Cao</t>
        </is>
      </c>
      <c r="L302" s="10" t="inlineStr">
        <is>
          <t>FR-MET-FE-001</t>
        </is>
      </c>
      <c r="M302" s="11" t="inlineStr">
        <is>
          <t>Chưa chạy</t>
        </is>
      </c>
      <c r="N302" s="11" t="inlineStr"/>
      <c r="O302" s="11" t="inlineStr"/>
      <c r="P302" s="11" t="inlineStr"/>
    </row>
    <row r="303">
      <c r="A303" s="10" t="n">
        <v>302</v>
      </c>
      <c r="B303" s="10" t="inlineStr">
        <is>
          <t>TC-MET-E2E-002</t>
        </is>
      </c>
      <c r="C303" s="10" t="inlineStr">
        <is>
          <t>Metrics</t>
        </is>
      </c>
      <c r="D303" s="10" t="inlineStr">
        <is>
          <t>E2E (UI) — Frontend</t>
        </is>
      </c>
      <c r="E303" s="10" t="inlineStr">
        <is>
          <t>Số request khi mở Dashboard</t>
        </is>
      </c>
      <c r="F303" s="10" t="inlineStr">
        <is>
          <t>—</t>
        </is>
      </c>
      <c r="G303" s="10" t="inlineStr">
        <is>
          <t>Theo dõi tab Network</t>
        </is>
      </c>
      <c r="H303" s="10" t="inlineStr">
        <is>
          <t>—</t>
        </is>
      </c>
      <c r="I303" s="10" t="inlineStr">
        <is>
          <t>≤ 6 request; không có request theo từng node</t>
        </is>
      </c>
      <c r="J303" s="10" t="inlineStr">
        <is>
          <t>Performance</t>
        </is>
      </c>
      <c r="K303" s="10" t="inlineStr">
        <is>
          <t>P1 - Cao</t>
        </is>
      </c>
      <c r="L303" s="10" t="inlineStr">
        <is>
          <t>FR-MET-FE-002</t>
        </is>
      </c>
      <c r="M303" s="11" t="inlineStr">
        <is>
          <t>Chưa chạy</t>
        </is>
      </c>
      <c r="N303" s="11" t="inlineStr"/>
      <c r="O303" s="11" t="inlineStr"/>
      <c r="P303" s="11" t="inlineStr"/>
    </row>
    <row r="304">
      <c r="A304" s="10" t="n">
        <v>303</v>
      </c>
      <c r="B304" s="10" t="inlineStr">
        <is>
          <t>TC-MET-E2E-003</t>
        </is>
      </c>
      <c r="C304" s="10" t="inlineStr">
        <is>
          <t>Metrics</t>
        </is>
      </c>
      <c r="D304" s="10" t="inlineStr">
        <is>
          <t>E2E (UI) — Frontend</t>
        </is>
      </c>
      <c r="E304" s="10" t="inlineStr">
        <is>
          <t>Skeleton khi tải</t>
        </is>
      </c>
      <c r="F304" s="10" t="inlineStr">
        <is>
          <t>Mạng chậm mô phỏng</t>
        </is>
      </c>
      <c r="G304" s="10" t="inlineStr">
        <is>
          <t>Mở Dashboard</t>
        </is>
      </c>
      <c r="H304" s="10" t="inlineStr">
        <is>
          <t>—</t>
        </is>
      </c>
      <c r="I304" s="10" t="inlineStr">
        <is>
          <t>Hiện skeleton đúng bố cục; CLS ≤ 0,1</t>
        </is>
      </c>
      <c r="J304" s="10" t="inlineStr">
        <is>
          <t>UI/UX</t>
        </is>
      </c>
      <c r="K304" s="10" t="inlineStr">
        <is>
          <t>P2 - Trung bình</t>
        </is>
      </c>
      <c r="L304" s="10" t="inlineStr">
        <is>
          <t>NFR-PERF-022</t>
        </is>
      </c>
      <c r="M304" s="11" t="inlineStr">
        <is>
          <t>Chưa chạy</t>
        </is>
      </c>
      <c r="N304" s="11" t="inlineStr"/>
      <c r="O304" s="11" t="inlineStr"/>
      <c r="P304" s="11" t="inlineStr"/>
    </row>
    <row r="305">
      <c r="A305" s="10" t="n">
        <v>304</v>
      </c>
      <c r="B305" s="10" t="inlineStr">
        <is>
          <t>TC-MET-E2E-004</t>
        </is>
      </c>
      <c r="C305" s="10" t="inlineStr">
        <is>
          <t>Metrics</t>
        </is>
      </c>
      <c r="D305" s="10" t="inlineStr">
        <is>
          <t>E2E (UI) — Frontend</t>
        </is>
      </c>
      <c r="E305" s="10" t="inlineStr">
        <is>
          <t>Nhãn “Dữ liệu cũ”</t>
        </is>
      </c>
      <c r="F305" s="10" t="inlineStr">
        <is>
          <t>Node `isStale`</t>
        </is>
      </c>
      <c r="G305" s="10" t="inlineStr">
        <is>
          <t>Xem danh sách</t>
        </is>
      </c>
      <c r="H305" s="10" t="inlineStr">
        <is>
          <t>—</t>
        </is>
      </c>
      <c r="I305" s="10" t="inlineStr">
        <is>
          <t>Hiển thị nhãn kèm thời điểm thu thập gần nhất</t>
        </is>
      </c>
      <c r="J305" s="10" t="inlineStr">
        <is>
          <t>UI/UX</t>
        </is>
      </c>
      <c r="K305" s="10" t="inlineStr">
        <is>
          <t>P2 - Trung bình</t>
        </is>
      </c>
      <c r="L305" s="10" t="inlineStr">
        <is>
          <t>FR-MET-FE-007</t>
        </is>
      </c>
      <c r="M305" s="11" t="inlineStr">
        <is>
          <t>Chưa chạy</t>
        </is>
      </c>
      <c r="N305" s="11" t="inlineStr"/>
      <c r="O305" s="11" t="inlineStr"/>
      <c r="P305" s="11" t="inlineStr"/>
    </row>
    <row r="306">
      <c r="A306" s="10" t="n">
        <v>305</v>
      </c>
      <c r="B306" s="10" t="inlineStr">
        <is>
          <t>TC-MET-E2E-005</t>
        </is>
      </c>
      <c r="C306" s="10" t="inlineStr">
        <is>
          <t>Metrics</t>
        </is>
      </c>
      <c r="D306" s="10" t="inlineStr">
        <is>
          <t>E2E (UI) — Frontend</t>
        </is>
      </c>
      <c r="E306" s="10" t="inlineStr">
        <is>
          <t>Trạng thái rỗng</t>
        </is>
      </c>
      <c r="F306" s="10" t="inlineStr">
        <is>
          <t>Chưa có node</t>
        </is>
      </c>
      <c r="G306" s="10" t="inlineStr">
        <is>
          <t>Mở Dashboard</t>
        </is>
      </c>
      <c r="H306" s="10" t="inlineStr">
        <is>
          <t>—</t>
        </is>
      </c>
      <c r="I306" s="10" t="inlineStr">
        <is>
          <t>Hiển thị hướng dẫn thêm node; nút chỉ hiện với ADMIN</t>
        </is>
      </c>
      <c r="J306" s="10" t="inlineStr">
        <is>
          <t>UI/UX</t>
        </is>
      </c>
      <c r="K306" s="10" t="inlineStr">
        <is>
          <t>P2 - Trung bình</t>
        </is>
      </c>
      <c r="L306" s="10" t="inlineStr">
        <is>
          <t>UC-MET-01/A3</t>
        </is>
      </c>
      <c r="M306" s="11" t="inlineStr">
        <is>
          <t>Chưa chạy</t>
        </is>
      </c>
      <c r="N306" s="11" t="inlineStr"/>
      <c r="O306" s="11" t="inlineStr"/>
      <c r="P306" s="11" t="inlineStr"/>
    </row>
    <row r="307">
      <c r="A307" s="10" t="n">
        <v>306</v>
      </c>
      <c r="B307" s="10" t="inlineStr">
        <is>
          <t>TC-MET-E2E-006</t>
        </is>
      </c>
      <c r="C307" s="10" t="inlineStr">
        <is>
          <t>Metrics</t>
        </is>
      </c>
      <c r="D307" s="10" t="inlineStr">
        <is>
          <t>E2E (UI) — Frontend</t>
        </is>
      </c>
      <c r="E307" s="10" t="inlineStr">
        <is>
          <t>Đổi dải thời gian</t>
        </is>
      </c>
      <c r="F307" s="10" t="inlineStr">
        <is>
          <t>Ở Node Detail</t>
        </is>
      </c>
      <c r="G307" s="10" t="inlineStr">
        <is>
          <t>Chọn 7d rồi 30d</t>
        </is>
      </c>
      <c r="H307" s="10" t="inlineStr">
        <is>
          <t>—</t>
        </is>
      </c>
      <c r="I307" s="10" t="inlineStr">
        <is>
          <t>Mỗi lần gọi đúng 1 request; dữ liệu cũ giữ làm nền, không nhảy layout</t>
        </is>
      </c>
      <c r="J307" s="10" t="inlineStr">
        <is>
          <t>Functional</t>
        </is>
      </c>
      <c r="K307" s="10" t="inlineStr">
        <is>
          <t>P1 - Cao</t>
        </is>
      </c>
      <c r="L307" s="10" t="inlineStr">
        <is>
          <t>FR-MET-FE-003</t>
        </is>
      </c>
      <c r="M307" s="11" t="inlineStr">
        <is>
          <t>Chưa chạy</t>
        </is>
      </c>
      <c r="N307" s="11" t="inlineStr"/>
      <c r="O307" s="11" t="inlineStr"/>
      <c r="P307" s="11" t="inlineStr"/>
    </row>
    <row r="308">
      <c r="A308" s="10" t="n">
        <v>307</v>
      </c>
      <c r="B308" s="10" t="inlineStr">
        <is>
          <t>TC-MET-E2E-007</t>
        </is>
      </c>
      <c r="C308" s="10" t="inlineStr">
        <is>
          <t>Metrics</t>
        </is>
      </c>
      <c r="D308" s="10" t="inlineStr">
        <is>
          <t>E2E (UI) — Frontend</t>
        </is>
      </c>
      <c r="E308" s="10" t="inlineStr">
        <is>
          <t>Đường ngưỡng trên biểu đồ</t>
        </is>
      </c>
      <c r="F308" s="10" t="inlineStr">
        <is>
          <t>Ngưỡng disk 80/90</t>
        </is>
      </c>
      <c r="G308" s="10" t="inlineStr">
        <is>
          <t>Xem biểu đồ</t>
        </is>
      </c>
      <c r="H308" s="10" t="inlineStr">
        <is>
          <t>—</t>
        </is>
      </c>
      <c r="I308" s="10" t="inlineStr">
        <is>
          <t>Có hai đường ngưỡng kèm chú thích</t>
        </is>
      </c>
      <c r="J308" s="10" t="inlineStr">
        <is>
          <t>UI/UX</t>
        </is>
      </c>
      <c r="K308" s="10" t="inlineStr">
        <is>
          <t>P2 - Trung bình</t>
        </is>
      </c>
      <c r="L308" s="10" t="inlineStr">
        <is>
          <t>FR-MET-FE-004</t>
        </is>
      </c>
      <c r="M308" s="11" t="inlineStr">
        <is>
          <t>Chưa chạy</t>
        </is>
      </c>
      <c r="N308" s="11" t="inlineStr"/>
      <c r="O308" s="11" t="inlineStr"/>
      <c r="P308" s="11" t="inlineStr"/>
    </row>
    <row r="309">
      <c r="A309" s="10" t="n">
        <v>308</v>
      </c>
      <c r="B309" s="10" t="inlineStr">
        <is>
          <t>TC-MET-E2E-008</t>
        </is>
      </c>
      <c r="C309" s="10" t="inlineStr">
        <is>
          <t>Metrics</t>
        </is>
      </c>
      <c r="D309" s="10" t="inlineStr">
        <is>
          <t>E2E (UI) — Frontend</t>
        </is>
      </c>
      <c r="E309" s="10" t="inlineStr">
        <is>
          <t>Điểm null làm đứt đường</t>
        </is>
      </c>
      <c r="F309" s="10" t="inlineStr">
        <is>
          <t>Dữ liệu có `null`</t>
        </is>
      </c>
      <c r="G309" s="10" t="inlineStr">
        <is>
          <t>Xem biểu đồ</t>
        </is>
      </c>
      <c r="H309" s="10" t="inlineStr">
        <is>
          <t>—</t>
        </is>
      </c>
      <c r="I309" s="10" t="inlineStr">
        <is>
          <t>Đường bị ngắt; tooltip ghi “Không thu được dữ liệu”</t>
        </is>
      </c>
      <c r="J309" s="10" t="inlineStr">
        <is>
          <t>UI/UX</t>
        </is>
      </c>
      <c r="K309" s="10" t="inlineStr">
        <is>
          <t>P1 - Cao</t>
        </is>
      </c>
      <c r="L309" s="10" t="inlineStr">
        <is>
          <t>FR-MET-FE-005</t>
        </is>
      </c>
      <c r="M309" s="11" t="inlineStr">
        <is>
          <t>Chưa chạy</t>
        </is>
      </c>
      <c r="N309" s="11" t="inlineStr"/>
      <c r="O309" s="11" t="inlineStr"/>
      <c r="P309" s="11" t="inlineStr"/>
    </row>
    <row r="310">
      <c r="A310" s="10" t="n">
        <v>309</v>
      </c>
      <c r="B310" s="10" t="inlineStr">
        <is>
          <t>TC-MET-E2E-009</t>
        </is>
      </c>
      <c r="C310" s="10" t="inlineStr">
        <is>
          <t>Metrics</t>
        </is>
      </c>
      <c r="D310" s="10" t="inlineStr">
        <is>
          <t>E2E (UI) — Frontend</t>
        </is>
      </c>
      <c r="E310" s="10" t="inlineStr">
        <is>
          <t>Múi giờ hiển thị</t>
        </is>
      </c>
      <c r="F310" s="10" t="inlineStr">
        <is>
          <t>Dữ liệu UTC</t>
        </is>
      </c>
      <c r="G310" s="10" t="inlineStr">
        <is>
          <t>Di chuột lên biểu đồ</t>
        </is>
      </c>
      <c r="H310" s="10" t="inlineStr">
        <is>
          <t>—</t>
        </is>
      </c>
      <c r="I310" s="10" t="inlineStr">
        <is>
          <t>Thời gian hiển thị theo giờ trình duyệt (GMT+7)</t>
        </is>
      </c>
      <c r="J310" s="10" t="inlineStr">
        <is>
          <t>UI/UX</t>
        </is>
      </c>
      <c r="K310" s="10" t="inlineStr">
        <is>
          <t>P2 - Trung bình</t>
        </is>
      </c>
      <c r="L310" s="10" t="inlineStr">
        <is>
          <t>NFR-USA-005</t>
        </is>
      </c>
      <c r="M310" s="11" t="inlineStr">
        <is>
          <t>Chưa chạy</t>
        </is>
      </c>
      <c r="N310" s="11" t="inlineStr"/>
      <c r="O310" s="11" t="inlineStr"/>
      <c r="P310" s="11" t="inlineStr"/>
    </row>
    <row r="311">
      <c r="A311" s="10" t="n">
        <v>310</v>
      </c>
      <c r="B311" s="10" t="inlineStr">
        <is>
          <t>TC-MET-E2E-010</t>
        </is>
      </c>
      <c r="C311" s="10" t="inlineStr">
        <is>
          <t>Metrics</t>
        </is>
      </c>
      <c r="D311" s="10" t="inlineStr">
        <is>
          <t>E2E (UI) — Frontend</t>
        </is>
      </c>
      <c r="E311" s="10" t="inlineStr">
        <is>
          <t>Không vẽ quá 500 điểm</t>
        </is>
      </c>
      <c r="F311" s="10" t="inlineStr">
        <is>
          <t>`range=30d`</t>
        </is>
      </c>
      <c r="G311" s="10" t="inlineStr">
        <is>
          <t>Kiểm tra dữ liệu biểu đồ</t>
        </is>
      </c>
      <c r="H311" s="10" t="inlineStr">
        <is>
          <t>—</t>
        </is>
      </c>
      <c r="I311" s="10" t="inlineStr">
        <is>
          <t>≤ 500 điểm mỗi chuỗi</t>
        </is>
      </c>
      <c r="J311" s="10" t="inlineStr">
        <is>
          <t>Performance</t>
        </is>
      </c>
      <c r="K311" s="10" t="inlineStr">
        <is>
          <t>P2 - Trung bình</t>
        </is>
      </c>
      <c r="L311" s="10" t="inlineStr">
        <is>
          <t>FR-MET-FE-006</t>
        </is>
      </c>
      <c r="M311" s="11" t="inlineStr">
        <is>
          <t>Chưa chạy</t>
        </is>
      </c>
      <c r="N311" s="11" t="inlineStr"/>
      <c r="O311" s="11" t="inlineStr"/>
      <c r="P311" s="11" t="inlineStr"/>
    </row>
    <row r="312">
      <c r="A312" s="10" t="n">
        <v>311</v>
      </c>
      <c r="B312" s="10" t="inlineStr">
        <is>
          <t>TC-MET-E2E-011</t>
        </is>
      </c>
      <c r="C312" s="10" t="inlineStr">
        <is>
          <t>Metrics</t>
        </is>
      </c>
      <c r="D312" s="10" t="inlineStr">
        <is>
          <t>E2E (UI) — Frontend</t>
        </is>
      </c>
      <c r="E312" s="10" t="inlineStr">
        <is>
          <t>Hủy request khi rời trang</t>
        </is>
      </c>
      <c r="F312" s="10" t="inlineStr">
        <is>
          <t>Đang tải dữ liệu 30d</t>
        </is>
      </c>
      <c r="G312" s="10" t="inlineStr">
        <is>
          <t>Rời trang ngay</t>
        </is>
      </c>
      <c r="H312" s="10" t="inlineStr">
        <is>
          <t>—</t>
        </is>
      </c>
      <c r="I312" s="10" t="inlineStr">
        <is>
          <t>Request bị hủy; không có cảnh báo cập nhật state sau khi unmount</t>
        </is>
      </c>
      <c r="J312" s="10" t="inlineStr">
        <is>
          <t>Reliability</t>
        </is>
      </c>
      <c r="K312" s="10" t="inlineStr">
        <is>
          <t>P3 - Thấp</t>
        </is>
      </c>
      <c r="L312" s="10" t="inlineStr">
        <is>
          <t>UC-MET-02/E4</t>
        </is>
      </c>
      <c r="M312" s="11" t="inlineStr">
        <is>
          <t>Chưa chạy</t>
        </is>
      </c>
      <c r="N312" s="11" t="inlineStr"/>
      <c r="O312" s="11" t="inlineStr"/>
      <c r="P312" s="11" t="inlineStr"/>
    </row>
    <row r="313">
      <c r="A313" s="10" t="n">
        <v>312</v>
      </c>
      <c r="B313" s="10" t="inlineStr">
        <is>
          <t>TC-MET-E2E-012</t>
        </is>
      </c>
      <c r="C313" s="10" t="inlineStr">
        <is>
          <t>Metrics</t>
        </is>
      </c>
      <c r="D313" s="10" t="inlineStr">
        <is>
          <t>E2E (UI) — Frontend</t>
        </is>
      </c>
      <c r="E313" s="10" t="inlineStr">
        <is>
          <t>Tab ẩn dừng cập nhật</t>
        </is>
      </c>
      <c r="F313" s="10" t="inlineStr">
        <is>
          <t>Đang mở Dashboard</t>
        </is>
      </c>
      <c r="G313" s="10" t="inlineStr">
        <is>
          <t>Chuyển tab 6 phút rồi quay lại</t>
        </is>
      </c>
      <c r="H313" s="10" t="inlineStr">
        <is>
          <t>—</t>
        </is>
      </c>
      <c r="I313" s="10" t="inlineStr">
        <is>
          <t>Không cập nhật khi ẩn; quay lại thì đồng bộ bằng một lần gọi API</t>
        </is>
      </c>
      <c r="J313" s="10" t="inlineStr">
        <is>
          <t>Performance</t>
        </is>
      </c>
      <c r="K313" s="10" t="inlineStr">
        <is>
          <t>P3 - Thấp</t>
        </is>
      </c>
      <c r="L313" s="10" t="inlineStr">
        <is>
          <t>FR-RTM-FE-007</t>
        </is>
      </c>
      <c r="M313" s="11" t="inlineStr">
        <is>
          <t>Chưa chạy</t>
        </is>
      </c>
      <c r="N313" s="11" t="inlineStr"/>
      <c r="O313" s="11" t="inlineStr"/>
      <c r="P313" s="11" t="inlineStr"/>
    </row>
    <row r="314">
      <c r="A314" s="10" t="n">
        <v>313</v>
      </c>
      <c r="B314" s="10" t="inlineStr">
        <is>
          <t>TC-INC-UNIT-001</t>
        </is>
      </c>
      <c r="C314" s="10" t="inlineStr">
        <is>
          <t>Incident</t>
        </is>
      </c>
      <c r="D314" s="10" t="inlineStr">
        <is>
          <t>Unit — Đánh giá ngưỡng (Unit)</t>
        </is>
      </c>
      <c r="E314" s="10" t="inlineStr">
        <is>
          <t>Dưới ngưỡng</t>
        </is>
      </c>
      <c r="F314" s="10" t="inlineStr">
        <is>
          <t>Không có sự cố</t>
        </is>
      </c>
      <c r="G314" s="10" t="inlineStr">
        <is>
          <t>Đánh giá 1 snapshot</t>
        </is>
      </c>
      <c r="H314" s="10" t="inlineStr">
        <is>
          <t>disk 70%</t>
        </is>
      </c>
      <c r="I314" s="10" t="inlineStr">
        <is>
          <t>`NORMAL`, không mở sự cố, `breachStreak = 0`</t>
        </is>
      </c>
      <c r="J314" s="10" t="inlineStr">
        <is>
          <t>Functional</t>
        </is>
      </c>
      <c r="K314" s="10" t="inlineStr">
        <is>
          <t>P1 - Cao</t>
        </is>
      </c>
      <c r="L314" s="10" t="inlineStr">
        <is>
          <t>FR-INC-010</t>
        </is>
      </c>
      <c r="M314" s="11" t="inlineStr">
        <is>
          <t>Chưa chạy</t>
        </is>
      </c>
      <c r="N314" s="11" t="inlineStr"/>
      <c r="O314" s="11" t="inlineStr"/>
      <c r="P314" s="11" t="inlineStr"/>
    </row>
    <row r="315">
      <c r="A315" s="10" t="n">
        <v>314</v>
      </c>
      <c r="B315" s="10" t="inlineStr">
        <is>
          <t>TC-INC-UNIT-002</t>
        </is>
      </c>
      <c r="C315" s="10" t="inlineStr">
        <is>
          <t>Incident</t>
        </is>
      </c>
      <c r="D315" s="10" t="inlineStr">
        <is>
          <t>Unit — Đánh giá ngưỡng (Unit)</t>
        </is>
      </c>
      <c r="E315" s="10" t="inlineStr">
        <is>
          <t>Vượt cảnh báo lần đầu</t>
        </is>
      </c>
      <c r="F315" s="10" t="inlineStr">
        <is>
          <t>—</t>
        </is>
      </c>
      <c r="G315" s="10" t="inlineStr">
        <is>
          <t>1 snapshot</t>
        </is>
      </c>
      <c r="H315" s="10" t="inlineStr">
        <is>
          <t>disk 85%</t>
        </is>
      </c>
      <c r="I315" s="10" t="inlineStr">
        <is>
          <t>`breachStreak = 1`, chưa mở sự cố</t>
        </is>
      </c>
      <c r="J315" s="10" t="inlineStr">
        <is>
          <t>Functional</t>
        </is>
      </c>
      <c r="K315" s="10" t="inlineStr">
        <is>
          <t>P1 - Cao</t>
        </is>
      </c>
      <c r="L315" s="10" t="inlineStr">
        <is>
          <t>FR-INC-010</t>
        </is>
      </c>
      <c r="M315" s="11" t="inlineStr">
        <is>
          <t>Chưa chạy</t>
        </is>
      </c>
      <c r="N315" s="11" t="inlineStr"/>
      <c r="O315" s="11" t="inlineStr"/>
      <c r="P315" s="11" t="inlineStr"/>
    </row>
    <row r="316">
      <c r="A316" s="10" t="n">
        <v>315</v>
      </c>
      <c r="B316" s="10" t="inlineStr">
        <is>
          <t>TC-INC-UNIT-003</t>
        </is>
      </c>
      <c r="C316" s="10" t="inlineStr">
        <is>
          <t>Incident</t>
        </is>
      </c>
      <c r="D316" s="10" t="inlineStr">
        <is>
          <t>Unit — Đánh giá ngưỡng (Unit)</t>
        </is>
      </c>
      <c r="E316" s="10" t="inlineStr">
        <is>
          <t>Vượt cảnh báo lần hai</t>
        </is>
      </c>
      <c r="F316" s="10" t="inlineStr">
        <is>
          <t>breachStreak = 1</t>
        </is>
      </c>
      <c r="G316" s="10" t="inlineStr">
        <is>
          <t>snapshot thứ 2</t>
        </is>
      </c>
      <c r="H316" s="10" t="inlineStr">
        <is>
          <t>disk 86%</t>
        </is>
      </c>
      <c r="I316" s="10" t="inlineStr">
        <is>
          <t>Mở sự cố `DISK_HIGH` severity `WARNING`</t>
        </is>
      </c>
      <c r="J316" s="10" t="inlineStr">
        <is>
          <t>Functional</t>
        </is>
      </c>
      <c r="K316" s="10" t="inlineStr">
        <is>
          <t>P1 - Cao</t>
        </is>
      </c>
      <c r="L316" s="10" t="inlineStr">
        <is>
          <t>FR-INC-010</t>
        </is>
      </c>
      <c r="M316" s="11" t="inlineStr">
        <is>
          <t>Chưa chạy</t>
        </is>
      </c>
      <c r="N316" s="11" t="inlineStr"/>
      <c r="O316" s="11" t="inlineStr"/>
      <c r="P316" s="11" t="inlineStr"/>
    </row>
    <row r="317">
      <c r="A317" s="10" t="n">
        <v>316</v>
      </c>
      <c r="B317" s="10" t="inlineStr">
        <is>
          <t>TC-INC-UNIT-004</t>
        </is>
      </c>
      <c r="C317" s="10" t="inlineStr">
        <is>
          <t>Incident</t>
        </is>
      </c>
      <c r="D317" s="10" t="inlineStr">
        <is>
          <t>Unit — Đánh giá ngưỡng (Unit)</t>
        </is>
      </c>
      <c r="E317" s="10" t="inlineStr">
        <is>
          <t>Vượt nguy cấp 2 lần</t>
        </is>
      </c>
      <c r="F317" s="10" t="inlineStr">
        <is>
          <t>—</t>
        </is>
      </c>
      <c r="G317" s="10" t="inlineStr">
        <is>
          <t>2 snapshot</t>
        </is>
      </c>
      <c r="H317" s="10" t="inlineStr">
        <is>
          <t>disk 92%, 93%</t>
        </is>
      </c>
      <c r="I317" s="10" t="inlineStr">
        <is>
          <t>Mở sự cố severity `CRITICAL`</t>
        </is>
      </c>
      <c r="J317" s="10" t="inlineStr">
        <is>
          <t>Functional</t>
        </is>
      </c>
      <c r="K317" s="10" t="inlineStr">
        <is>
          <t>P1 - Cao</t>
        </is>
      </c>
      <c r="L317" s="10" t="inlineStr">
        <is>
          <t>FR-INC-010</t>
        </is>
      </c>
      <c r="M317" s="11" t="inlineStr">
        <is>
          <t>Chưa chạy</t>
        </is>
      </c>
      <c r="N317" s="11" t="inlineStr"/>
      <c r="O317" s="11" t="inlineStr"/>
      <c r="P317" s="11" t="inlineStr"/>
    </row>
    <row r="318">
      <c r="A318" s="10" t="n">
        <v>317</v>
      </c>
      <c r="B318" s="10" t="inlineStr">
        <is>
          <t>TC-INC-UNIT-005</t>
        </is>
      </c>
      <c r="C318" s="10" t="inlineStr">
        <is>
          <t>Incident</t>
        </is>
      </c>
      <c r="D318" s="10" t="inlineStr">
        <is>
          <t>Unit — Đánh giá ngưỡng (Unit)</t>
        </is>
      </c>
      <c r="E318" s="10" t="inlineStr">
        <is>
          <t>Giá trị đúng bằng ngưỡng</t>
        </is>
      </c>
      <c r="F318" s="10" t="inlineStr">
        <is>
          <t>—</t>
        </is>
      </c>
      <c r="G318" s="10" t="inlineStr">
        <is>
          <t>2 snapshot</t>
        </is>
      </c>
      <c r="H318" s="10" t="inlineStr">
        <is>
          <t>disk 80.00%</t>
        </is>
      </c>
      <c r="I318" s="10" t="inlineStr">
        <is>
          <t>Tính là breach (`&gt;=`), mở WARNING</t>
        </is>
      </c>
      <c r="J318" s="10" t="inlineStr">
        <is>
          <t>Functional</t>
        </is>
      </c>
      <c r="K318" s="10" t="inlineStr">
        <is>
          <t>P2 - Trung bình</t>
        </is>
      </c>
      <c r="L318" s="10" t="inlineStr">
        <is>
          <t>BR-INC-002</t>
        </is>
      </c>
      <c r="M318" s="11" t="inlineStr">
        <is>
          <t>Chưa chạy</t>
        </is>
      </c>
      <c r="N318" s="11" t="inlineStr"/>
      <c r="O318" s="11" t="inlineStr"/>
      <c r="P318" s="11" t="inlineStr"/>
    </row>
    <row r="319">
      <c r="A319" s="10" t="n">
        <v>318</v>
      </c>
      <c r="B319" s="10" t="inlineStr">
        <is>
          <t>TC-INC-UNIT-006</t>
        </is>
      </c>
      <c r="C319" s="10" t="inlineStr">
        <is>
          <t>Incident</t>
        </is>
      </c>
      <c r="D319" s="10" t="inlineStr">
        <is>
          <t>Unit — Đánh giá ngưỡng (Unit)</t>
        </is>
      </c>
      <c r="E319" s="10" t="inlineStr">
        <is>
          <t>Nâng cấp WARNING → CRITICAL</t>
        </is>
      </c>
      <c r="F319" s="10" t="inlineStr">
        <is>
          <t>Đang có sự cố WARNING</t>
        </is>
      </c>
      <c r="G319" s="10" t="inlineStr">
        <is>
          <t>snapshot vượt ngưỡng nguy cấp</t>
        </is>
      </c>
      <c r="H319" s="10" t="inlineStr">
        <is>
          <t>disk 91%</t>
        </is>
      </c>
      <c r="I319" s="10" t="inlineStr">
        <is>
          <t>Cùng sự cố, severity `CRITICAL`, phát `IncidentEscalatedV1`; không tạo sự cố thứ hai</t>
        </is>
      </c>
      <c r="J319" s="10" t="inlineStr">
        <is>
          <t>Functional</t>
        </is>
      </c>
      <c r="K319" s="10" t="inlineStr">
        <is>
          <t>P1 - Cao</t>
        </is>
      </c>
      <c r="L319" s="10" t="inlineStr">
        <is>
          <t>FR-INC-012</t>
        </is>
      </c>
      <c r="M319" s="11" t="inlineStr">
        <is>
          <t>Chưa chạy</t>
        </is>
      </c>
      <c r="N319" s="11" t="inlineStr"/>
      <c r="O319" s="11" t="inlineStr"/>
      <c r="P319" s="11" t="inlineStr"/>
    </row>
    <row r="320">
      <c r="A320" s="10" t="n">
        <v>319</v>
      </c>
      <c r="B320" s="10" t="inlineStr">
        <is>
          <t>TC-INC-UNIT-007</t>
        </is>
      </c>
      <c r="C320" s="10" t="inlineStr">
        <is>
          <t>Incident</t>
        </is>
      </c>
      <c r="D320" s="10" t="inlineStr">
        <is>
          <t>Unit — Đánh giá ngưỡng (Unit)</t>
        </is>
      </c>
      <c r="E320" s="10" t="inlineStr">
        <is>
          <t>Không hạ severity</t>
        </is>
      </c>
      <c r="F320" s="10" t="inlineStr">
        <is>
          <t>Sự cố CRITICAL</t>
        </is>
      </c>
      <c r="G320" s="10" t="inlineStr">
        <is>
          <t>snapshot 85%</t>
        </is>
      </c>
      <c r="H320" s="10" t="inlineStr">
        <is>
          <t>—</t>
        </is>
      </c>
      <c r="I320" s="10" t="inlineStr">
        <is>
          <t>Vẫn CRITICAL, không có sự kiện hạ cấp</t>
        </is>
      </c>
      <c r="J320" s="10" t="inlineStr">
        <is>
          <t>Functional</t>
        </is>
      </c>
      <c r="K320" s="10" t="inlineStr">
        <is>
          <t>P2 - Trung bình</t>
        </is>
      </c>
      <c r="L320" s="10" t="inlineStr">
        <is>
          <t>BR-INC-006</t>
        </is>
      </c>
      <c r="M320" s="11" t="inlineStr">
        <is>
          <t>Chưa chạy</t>
        </is>
      </c>
      <c r="N320" s="11" t="inlineStr"/>
      <c r="O320" s="11" t="inlineStr"/>
      <c r="P320" s="11" t="inlineStr"/>
    </row>
    <row r="321">
      <c r="A321" s="10" t="n">
        <v>320</v>
      </c>
      <c r="B321" s="10" t="inlineStr">
        <is>
          <t>TC-INC-UNIT-008</t>
        </is>
      </c>
      <c r="C321" s="10" t="inlineStr">
        <is>
          <t>Incident</t>
        </is>
      </c>
      <c r="D321" s="10" t="inlineStr">
        <is>
          <t>Unit — Đánh giá ngưỡng (Unit)</t>
        </is>
      </c>
      <c r="E321" s="10" t="inlineStr">
        <is>
          <t>Tái diễn tăng bộ đếm</t>
        </is>
      </c>
      <c r="F321" s="10" t="inlineStr">
        <is>
          <t>Sự cố đang mở</t>
        </is>
      </c>
      <c r="G321" s="10" t="inlineStr">
        <is>
          <t>3 snapshot vượt ngưỡng</t>
        </is>
      </c>
      <c r="H321" s="10" t="inlineStr">
        <is>
          <t>—</t>
        </is>
      </c>
      <c r="I321" s="10" t="inlineStr">
        <is>
          <t>`occurrenceCount = 4`, `lastSeenAt` cập nhật, chỉ một bản ghi sự cố</t>
        </is>
      </c>
      <c r="J321" s="10" t="inlineStr">
        <is>
          <t>Functional</t>
        </is>
      </c>
      <c r="K321" s="10" t="inlineStr">
        <is>
          <t>P1 - Cao</t>
        </is>
      </c>
      <c r="L321" s="10" t="inlineStr">
        <is>
          <t>FR-INC-011</t>
        </is>
      </c>
      <c r="M321" s="11" t="inlineStr">
        <is>
          <t>Chưa chạy</t>
        </is>
      </c>
      <c r="N321" s="11" t="inlineStr"/>
      <c r="O321" s="11" t="inlineStr"/>
      <c r="P321" s="11" t="inlineStr"/>
    </row>
    <row r="322">
      <c r="A322" s="10" t="n">
        <v>321</v>
      </c>
      <c r="B322" s="10" t="inlineStr">
        <is>
          <t>TC-INC-UNIT-009</t>
        </is>
      </c>
      <c r="C322" s="10" t="inlineStr">
        <is>
          <t>Incident</t>
        </is>
      </c>
      <c r="D322" s="10" t="inlineStr">
        <is>
          <t>Unit — Đánh giá ngưỡng (Unit)</t>
        </is>
      </c>
      <c r="E322" s="10" t="inlineStr">
        <is>
          <t>Hồi phục chưa đủ biên</t>
        </is>
      </c>
      <c r="F322" s="10" t="inlineStr">
        <is>
          <t>Sự cố CRITICAL (ngưỡng 90)</t>
        </is>
      </c>
      <c r="G322" s="10" t="inlineStr">
        <is>
          <t>snapshot 87%</t>
        </is>
      </c>
      <c r="H322" s="10" t="inlineStr">
        <is>
          <t>—</t>
        </is>
      </c>
      <c r="I322" s="10" t="inlineStr">
        <is>
          <t>Chưa tính là hồi phục (cần &lt; 85)</t>
        </is>
      </c>
      <c r="J322" s="10" t="inlineStr">
        <is>
          <t>Functional</t>
        </is>
      </c>
      <c r="K322" s="10" t="inlineStr">
        <is>
          <t>P1 - Cao</t>
        </is>
      </c>
      <c r="L322" s="10" t="inlineStr">
        <is>
          <t>FR-INC-013</t>
        </is>
      </c>
      <c r="M322" s="11" t="inlineStr">
        <is>
          <t>Chưa chạy</t>
        </is>
      </c>
      <c r="N322" s="11" t="inlineStr"/>
      <c r="O322" s="11" t="inlineStr"/>
      <c r="P322" s="11" t="inlineStr"/>
    </row>
    <row r="323">
      <c r="A323" s="10" t="n">
        <v>322</v>
      </c>
      <c r="B323" s="10" t="inlineStr">
        <is>
          <t>TC-INC-UNIT-010</t>
        </is>
      </c>
      <c r="C323" s="10" t="inlineStr">
        <is>
          <t>Incident</t>
        </is>
      </c>
      <c r="D323" s="10" t="inlineStr">
        <is>
          <t>Unit — Đánh giá ngưỡng (Unit)</t>
        </is>
      </c>
      <c r="E323" s="10" t="inlineStr">
        <is>
          <t>Hồi phục đủ biên 1 lần</t>
        </is>
      </c>
      <c r="F323" s="10" t="inlineStr">
        <is>
          <t>như trên</t>
        </is>
      </c>
      <c r="G323" s="10" t="inlineStr">
        <is>
          <t>snapshot 84%</t>
        </is>
      </c>
      <c r="H323" s="10" t="inlineStr">
        <is>
          <t>—</t>
        </is>
      </c>
      <c r="I323" s="10" t="inlineStr">
        <is>
          <t>`recoveryStreak = 1`, sự cố vẫn mở</t>
        </is>
      </c>
      <c r="J323" s="10" t="inlineStr">
        <is>
          <t>Functional</t>
        </is>
      </c>
      <c r="K323" s="10" t="inlineStr">
        <is>
          <t>P1 - Cao</t>
        </is>
      </c>
      <c r="L323" s="10" t="inlineStr">
        <is>
          <t>FR-INC-013</t>
        </is>
      </c>
      <c r="M323" s="11" t="inlineStr">
        <is>
          <t>Chưa chạy</t>
        </is>
      </c>
      <c r="N323" s="11" t="inlineStr"/>
      <c r="O323" s="11" t="inlineStr"/>
      <c r="P323" s="11" t="inlineStr"/>
    </row>
    <row r="324">
      <c r="A324" s="10" t="n">
        <v>323</v>
      </c>
      <c r="B324" s="10" t="inlineStr">
        <is>
          <t>TC-INC-UNIT-011</t>
        </is>
      </c>
      <c r="C324" s="10" t="inlineStr">
        <is>
          <t>Incident</t>
        </is>
      </c>
      <c r="D324" s="10" t="inlineStr">
        <is>
          <t>Unit — Đánh giá ngưỡng (Unit)</t>
        </is>
      </c>
      <c r="E324" s="10" t="inlineStr">
        <is>
          <t>Tự đóng sau 2 lần hồi phục</t>
        </is>
      </c>
      <c r="F324" s="10" t="inlineStr">
        <is>
          <t>recoveryStreak = 1</t>
        </is>
      </c>
      <c r="G324" s="10" t="inlineStr">
        <is>
          <t>snapshot 83%</t>
        </is>
      </c>
      <c r="H324" s="10" t="inlineStr">
        <is>
          <t>—</t>
        </is>
      </c>
      <c r="I324" s="10" t="inlineStr">
        <is>
          <t>Sự cố `RESOLVED`, `resolvedSource = SYSTEM`</t>
        </is>
      </c>
      <c r="J324" s="10" t="inlineStr">
        <is>
          <t>Functional</t>
        </is>
      </c>
      <c r="K324" s="10" t="inlineStr">
        <is>
          <t>P1 - Cao</t>
        </is>
      </c>
      <c r="L324" s="10" t="inlineStr">
        <is>
          <t>FR-INC-013</t>
        </is>
      </c>
      <c r="M324" s="11" t="inlineStr">
        <is>
          <t>Chưa chạy</t>
        </is>
      </c>
      <c r="N324" s="11" t="inlineStr"/>
      <c r="O324" s="11" t="inlineStr"/>
      <c r="P324" s="11" t="inlineStr"/>
    </row>
    <row r="325">
      <c r="A325" s="10" t="n">
        <v>324</v>
      </c>
      <c r="B325" s="10" t="inlineStr">
        <is>
          <t>TC-INC-UNIT-012</t>
        </is>
      </c>
      <c r="C325" s="10" t="inlineStr">
        <is>
          <t>Incident</t>
        </is>
      </c>
      <c r="D325" s="10" t="inlineStr">
        <is>
          <t>Unit — Đánh giá ngưỡng (Unit)</t>
        </is>
      </c>
      <c r="E325" s="10" t="inlineStr">
        <is>
          <t>Chống dao động quanh ngưỡng</t>
        </is>
      </c>
      <c r="F325" s="10" t="inlineStr">
        <is>
          <t>—</t>
        </is>
      </c>
      <c r="G325" s="10" t="inlineStr">
        <is>
          <t>Chuỗi 91, 89, 91, 89</t>
        </is>
      </c>
      <c r="H325" s="10" t="inlineStr">
        <is>
          <t>—</t>
        </is>
      </c>
      <c r="I325" s="10" t="inlineStr">
        <is>
          <t>Không mở/đóng liên tục; chỉ một sự cố tồn tại</t>
        </is>
      </c>
      <c r="J325" s="10" t="inlineStr">
        <is>
          <t>Reliability</t>
        </is>
      </c>
      <c r="K325" s="10" t="inlineStr">
        <is>
          <t>P1 - Cao</t>
        </is>
      </c>
      <c r="L325" s="10" t="inlineStr">
        <is>
          <t>UC-INC-04/E1</t>
        </is>
      </c>
      <c r="M325" s="11" t="inlineStr">
        <is>
          <t>Chưa chạy</t>
        </is>
      </c>
      <c r="N325" s="11" t="inlineStr"/>
      <c r="O325" s="11" t="inlineStr"/>
      <c r="P325" s="11" t="inlineStr"/>
    </row>
    <row r="326">
      <c r="A326" s="10" t="n">
        <v>325</v>
      </c>
      <c r="B326" s="10" t="inlineStr">
        <is>
          <t>TC-INC-UNIT-013</t>
        </is>
      </c>
      <c r="C326" s="10" t="inlineStr">
        <is>
          <t>Incident</t>
        </is>
      </c>
      <c r="D326" s="10" t="inlineStr">
        <is>
          <t>Unit — Đánh giá ngưỡng (Unit)</t>
        </is>
      </c>
      <c r="E326" s="10" t="inlineStr">
        <is>
          <t>Metric null bị bỏ qua</t>
        </is>
      </c>
      <c r="F326" s="10" t="inlineStr">
        <is>
          <t>—</t>
        </is>
      </c>
      <c r="G326" s="10" t="inlineStr">
        <is>
          <t>snapshot cpu = null</t>
        </is>
      </c>
      <c r="H326" s="10" t="inlineStr">
        <is>
          <t>—</t>
        </is>
      </c>
      <c r="I326" s="10" t="inlineStr">
        <is>
          <t>Không đánh giá CPU, không thay đổi streak</t>
        </is>
      </c>
      <c r="J326" s="10" t="inlineStr">
        <is>
          <t>Functional</t>
        </is>
      </c>
      <c r="K326" s="10" t="inlineStr">
        <is>
          <t>P1 - Cao</t>
        </is>
      </c>
      <c r="L326" s="10" t="inlineStr">
        <is>
          <t>BR-MET-001</t>
        </is>
      </c>
      <c r="M326" s="11" t="inlineStr">
        <is>
          <t>Chưa chạy</t>
        </is>
      </c>
      <c r="N326" s="11" t="inlineStr"/>
      <c r="O326" s="11" t="inlineStr"/>
      <c r="P326" s="11" t="inlineStr"/>
    </row>
    <row r="327">
      <c r="A327" s="10" t="n">
        <v>326</v>
      </c>
      <c r="B327" s="10" t="inlineStr">
        <is>
          <t>TC-INC-UNIT-014</t>
        </is>
      </c>
      <c r="C327" s="10" t="inlineStr">
        <is>
          <t>Incident</t>
        </is>
      </c>
      <c r="D327" s="10" t="inlineStr">
        <is>
          <t>Unit — Đánh giá ngưỡng (Unit)</t>
        </is>
      </c>
      <c r="E327" s="10" t="inlineStr">
        <is>
          <t>Metric bị tắt đánh giá</t>
        </is>
      </c>
      <c r="F327" s="10" t="inlineStr">
        <is>
          <t>Chính sách CPU `isEnabled=false`</t>
        </is>
      </c>
      <c r="G327" s="10" t="inlineStr">
        <is>
          <t>snapshot cpu 99%</t>
        </is>
      </c>
      <c r="H327" s="10" t="inlineStr">
        <is>
          <t>—</t>
        </is>
      </c>
      <c r="I327" s="10" t="inlineStr">
        <is>
          <t>Không mở sự cố</t>
        </is>
      </c>
      <c r="J327" s="10" t="inlineStr">
        <is>
          <t>Functional</t>
        </is>
      </c>
      <c r="K327" s="10" t="inlineStr">
        <is>
          <t>P2 - Trung bình</t>
        </is>
      </c>
      <c r="L327" s="10" t="inlineStr">
        <is>
          <t>FR-INC-004</t>
        </is>
      </c>
      <c r="M327" s="11" t="inlineStr">
        <is>
          <t>Chưa chạy</t>
        </is>
      </c>
      <c r="N327" s="11" t="inlineStr"/>
      <c r="O327" s="11" t="inlineStr"/>
      <c r="P327" s="11" t="inlineStr"/>
    </row>
    <row r="328">
      <c r="A328" s="10" t="n">
        <v>327</v>
      </c>
      <c r="B328" s="10" t="inlineStr">
        <is>
          <t>TC-INC-UNIT-015</t>
        </is>
      </c>
      <c r="C328" s="10" t="inlineStr">
        <is>
          <t>Incident</t>
        </is>
      </c>
      <c r="D328" s="10" t="inlineStr">
        <is>
          <t>Unit — Đánh giá ngưỡng (Unit)</t>
        </is>
      </c>
      <c r="E328" s="10" t="inlineStr">
        <is>
          <t>Override theo node</t>
        </is>
      </c>
      <c r="F328" s="10" t="inlineStr">
        <is>
          <t>Node A có ngưỡng disk 95/98</t>
        </is>
      </c>
      <c r="G328" s="10" t="inlineStr">
        <is>
          <t>snapshot 92% ×2</t>
        </is>
      </c>
      <c r="H328" s="10" t="inlineStr">
        <is>
          <t>—</t>
        </is>
      </c>
      <c r="I328" s="10" t="inlineStr">
        <is>
          <t>Không mở sự cố cho node A (dùng override), node khác vẫn mở</t>
        </is>
      </c>
      <c r="J328" s="10" t="inlineStr">
        <is>
          <t>Functional</t>
        </is>
      </c>
      <c r="K328" s="10" t="inlineStr">
        <is>
          <t>P1 - Cao</t>
        </is>
      </c>
      <c r="L328" s="10" t="inlineStr">
        <is>
          <t>FR-INC-003</t>
        </is>
      </c>
      <c r="M328" s="11" t="inlineStr">
        <is>
          <t>Chưa chạy</t>
        </is>
      </c>
      <c r="N328" s="11" t="inlineStr"/>
      <c r="O328" s="11" t="inlineStr"/>
      <c r="P328" s="11" t="inlineStr"/>
    </row>
    <row r="329">
      <c r="A329" s="10" t="n">
        <v>328</v>
      </c>
      <c r="B329" s="10" t="inlineStr">
        <is>
          <t>TC-INC-UNIT-016</t>
        </is>
      </c>
      <c r="C329" s="10" t="inlineStr">
        <is>
          <t>Incident</t>
        </is>
      </c>
      <c r="D329" s="10" t="inlineStr">
        <is>
          <t>Unit — Đánh giá ngưỡng (Unit)</t>
        </is>
      </c>
      <c r="E329" s="10" t="inlineStr">
        <is>
          <t>Snapshot đến muộn</t>
        </is>
      </c>
      <c r="F329" s="10" t="inlineStr">
        <is>
          <t>`lastProcessedAt = 08:30`</t>
        </is>
      </c>
      <c r="G329" s="10" t="inlineStr">
        <is>
          <t>snapshot `collectedAt = 08:25`</t>
        </is>
      </c>
      <c r="H329" s="10" t="inlineStr">
        <is>
          <t>—</t>
        </is>
      </c>
      <c r="I329" s="10" t="inlineStr">
        <is>
          <t>Bỏ qua hoàn toàn</t>
        </is>
      </c>
      <c r="J329" s="10" t="inlineStr">
        <is>
          <t>Reliability</t>
        </is>
      </c>
      <c r="K329" s="10" t="inlineStr">
        <is>
          <t>P1 - Cao</t>
        </is>
      </c>
      <c r="L329" s="10" t="inlineStr">
        <is>
          <t>FR-INC-020</t>
        </is>
      </c>
      <c r="M329" s="11" t="inlineStr">
        <is>
          <t>Chưa chạy</t>
        </is>
      </c>
      <c r="N329" s="11" t="inlineStr"/>
      <c r="O329" s="11" t="inlineStr"/>
      <c r="P329" s="11" t="inlineStr"/>
    </row>
    <row r="330">
      <c r="A330" s="10" t="n">
        <v>329</v>
      </c>
      <c r="B330" s="10" t="inlineStr">
        <is>
          <t>TC-INC-UNIT-017</t>
        </is>
      </c>
      <c r="C330" s="10" t="inlineStr">
        <is>
          <t>Incident</t>
        </is>
      </c>
      <c r="D330" s="10" t="inlineStr">
        <is>
          <t>Unit — Đánh giá ngưỡng (Unit)</t>
        </is>
      </c>
      <c r="E330" s="10" t="inlineStr">
        <is>
          <t>Nhiều metric cùng vượt</t>
        </is>
      </c>
      <c r="F330" s="10" t="inlineStr">
        <is>
          <t>—</t>
        </is>
      </c>
      <c r="G330" s="10" t="inlineStr">
        <is>
          <t>snapshot cpu 90, disk 95 (×2)</t>
        </is>
      </c>
      <c r="H330" s="10" t="inlineStr">
        <is>
          <t>—</t>
        </is>
      </c>
      <c r="I330" s="10" t="inlineStr">
        <is>
          <t>Hai sự cố riêng `CPU_HIGH` và `DISK_HIGH`</t>
        </is>
      </c>
      <c r="J330" s="10" t="inlineStr">
        <is>
          <t>Functional</t>
        </is>
      </c>
      <c r="K330" s="10" t="inlineStr">
        <is>
          <t>P1 - Cao</t>
        </is>
      </c>
      <c r="L330" s="10" t="inlineStr">
        <is>
          <t>UC-INC-01/A4</t>
        </is>
      </c>
      <c r="M330" s="11" t="inlineStr">
        <is>
          <t>Chưa chạy</t>
        </is>
      </c>
      <c r="N330" s="11" t="inlineStr"/>
      <c r="O330" s="11" t="inlineStr"/>
      <c r="P330" s="11" t="inlineStr"/>
    </row>
    <row r="331">
      <c r="A331" s="10" t="n">
        <v>330</v>
      </c>
      <c r="B331" s="10" t="inlineStr">
        <is>
          <t>TC-INC-UNIT-018</t>
        </is>
      </c>
      <c r="C331" s="10" t="inlineStr">
        <is>
          <t>Incident</t>
        </is>
      </c>
      <c r="D331" s="10" t="inlineStr">
        <is>
          <t>Unit — Đánh giá ngưỡng (Unit)</t>
        </is>
      </c>
      <c r="E331" s="10" t="inlineStr">
        <is>
          <t>Mô tả tiếng Việt đúng mẫu</t>
        </is>
      </c>
      <c r="F331" s="10" t="inlineStr">
        <is>
          <t>—</t>
        </is>
      </c>
      <c r="G331" s="10" t="inlineStr">
        <is>
          <t>Mở sự cố disk 91.2</t>
        </is>
      </c>
      <c r="H331" s="10" t="inlineStr">
        <is>
          <t>—</t>
        </is>
      </c>
      <c r="I331" s="10" t="inlineStr">
        <is>
          <t>“Disk / đạt 91.2% (ngưỡng nguy cấp 90%)”</t>
        </is>
      </c>
      <c r="J331" s="10" t="inlineStr">
        <is>
          <t>UI/UX</t>
        </is>
      </c>
      <c r="K331" s="10" t="inlineStr">
        <is>
          <t>P2 - Trung bình</t>
        </is>
      </c>
      <c r="L331" s="10" t="inlineStr">
        <is>
          <t>BR-INC-008</t>
        </is>
      </c>
      <c r="M331" s="11" t="inlineStr">
        <is>
          <t>Chưa chạy</t>
        </is>
      </c>
      <c r="N331" s="11" t="inlineStr"/>
      <c r="O331" s="11" t="inlineStr"/>
      <c r="P331" s="11" t="inlineStr"/>
    </row>
    <row r="332">
      <c r="A332" s="10" t="n">
        <v>331</v>
      </c>
      <c r="B332" s="10" t="inlineStr">
        <is>
          <t>TC-INC-UNIT-019</t>
        </is>
      </c>
      <c r="C332" s="10" t="inlineStr">
        <is>
          <t>Incident</t>
        </is>
      </c>
      <c r="D332" s="10" t="inlineStr">
        <is>
          <t>Unit — Đánh giá ngưỡng (Unit)</t>
        </is>
      </c>
      <c r="E332" s="10" t="inlineStr">
        <is>
          <t>Acknowledge sự cố đã đóng</t>
        </is>
      </c>
      <c r="F332" s="10" t="inlineStr">
        <is>
          <t>Sự cố RESOLVED</t>
        </is>
      </c>
      <c r="G332" s="10" t="inlineStr">
        <is>
          <t>Gọi `Acknowledge()`</t>
        </is>
      </c>
      <c r="H332" s="10" t="inlineStr">
        <is>
          <t>—</t>
        </is>
      </c>
      <c r="I332" s="10" t="inlineStr">
        <is>
          <t>Trả `Result.Failure`, trạng thái không đổi</t>
        </is>
      </c>
      <c r="J332" s="10" t="inlineStr">
        <is>
          <t>Functional</t>
        </is>
      </c>
      <c r="K332" s="10" t="inlineStr">
        <is>
          <t>P1 - Cao</t>
        </is>
      </c>
      <c r="L332" s="10" t="inlineStr">
        <is>
          <t>BR-INC-003</t>
        </is>
      </c>
      <c r="M332" s="11" t="inlineStr">
        <is>
          <t>Chưa chạy</t>
        </is>
      </c>
      <c r="N332" s="11" t="inlineStr"/>
      <c r="O332" s="11" t="inlineStr"/>
      <c r="P332" s="11" t="inlineStr"/>
    </row>
    <row r="333">
      <c r="A333" s="10" t="n">
        <v>332</v>
      </c>
      <c r="B333" s="10" t="inlineStr">
        <is>
          <t>TC-INC-UNIT-020</t>
        </is>
      </c>
      <c r="C333" s="10" t="inlineStr">
        <is>
          <t>Incident</t>
        </is>
      </c>
      <c r="D333" s="10" t="inlineStr">
        <is>
          <t>Unit — Đánh giá ngưỡng (Unit)</t>
        </is>
      </c>
      <c r="E333" s="10" t="inlineStr">
        <is>
          <t>Auto-resolve không ghi đè ghi chú người dùng</t>
        </is>
      </c>
      <c r="F333" s="10" t="inlineStr">
        <is>
          <t>Sự cố đã ACK có ghi chú</t>
        </is>
      </c>
      <c r="G333" s="10" t="inlineStr">
        <is>
          <t>Hồi phục đủ</t>
        </is>
      </c>
      <c r="H333" s="10" t="inlineStr">
        <is>
          <t>—</t>
        </is>
      </c>
      <c r="I333" s="10" t="inlineStr">
        <is>
          <t>Đóng tự động, giữ nguyên `resolutionAction` người dùng nhập</t>
        </is>
      </c>
      <c r="J333" s="10" t="inlineStr">
        <is>
          <t>Functional</t>
        </is>
      </c>
      <c r="K333" s="10" t="inlineStr">
        <is>
          <t>P2 - Trung bình</t>
        </is>
      </c>
      <c r="L333" s="10" t="inlineStr">
        <is>
          <t>BR-INC-004</t>
        </is>
      </c>
      <c r="M333" s="11" t="inlineStr">
        <is>
          <t>Chưa chạy</t>
        </is>
      </c>
      <c r="N333" s="11" t="inlineStr"/>
      <c r="O333" s="11" t="inlineStr"/>
      <c r="P333" s="11" t="inlineStr"/>
    </row>
    <row r="334">
      <c r="A334" s="10" t="n">
        <v>333</v>
      </c>
      <c r="B334" s="10" t="inlineStr">
        <is>
          <t>TC-INC-INT-001</t>
        </is>
      </c>
      <c r="C334" s="10" t="inlineStr">
        <is>
          <t>Incident</t>
        </is>
      </c>
      <c r="D334" s="10" t="inlineStr">
        <is>
          <t>Integration — Integration</t>
        </is>
      </c>
      <c r="E334" s="10" t="inlineStr">
        <is>
          <t>Mở sự cố phát event</t>
        </is>
      </c>
      <c r="F334" s="10" t="inlineStr">
        <is>
          <t>Bus chạy</t>
        </is>
      </c>
      <c r="G334" s="10" t="inlineStr">
        <is>
          <t>Publish 2 snapshot vượt ngưỡng</t>
        </is>
      </c>
      <c r="H334" s="10" t="inlineStr">
        <is>
          <t>—</t>
        </is>
      </c>
      <c r="I334" s="10" t="inlineStr">
        <is>
          <t>Một `IncidentOpenedV1` đúng nội dung, phát sau khi commit (outbox)</t>
        </is>
      </c>
      <c r="J334" s="10" t="inlineStr">
        <is>
          <t>Integration</t>
        </is>
      </c>
      <c r="K334" s="10" t="inlineStr">
        <is>
          <t>P1 - Cao</t>
        </is>
      </c>
      <c r="L334" s="10" t="inlineStr">
        <is>
          <t>FR-INC-010</t>
        </is>
      </c>
      <c r="M334" s="11" t="inlineStr">
        <is>
          <t>Chưa chạy</t>
        </is>
      </c>
      <c r="N334" s="11" t="inlineStr"/>
      <c r="O334" s="11" t="inlineStr"/>
      <c r="P334" s="11" t="inlineStr"/>
    </row>
    <row r="335">
      <c r="A335" s="10" t="n">
        <v>334</v>
      </c>
      <c r="B335" s="10" t="inlineStr">
        <is>
          <t>TC-INC-INT-002</t>
        </is>
      </c>
      <c r="C335" s="10" t="inlineStr">
        <is>
          <t>Incident</t>
        </is>
      </c>
      <c r="D335" s="10" t="inlineStr">
        <is>
          <t>Integration — Integration</t>
        </is>
      </c>
      <c r="E335" s="10" t="inlineStr">
        <is>
          <t>Ràng buộc dedup ở CSDL</t>
        </is>
      </c>
      <c r="F335" s="10" t="inlineStr">
        <is>
          <t>Sự cố `DISK_HIGH` đang mở</t>
        </is>
      </c>
      <c r="G335" s="10" t="inlineStr">
        <is>
          <t>Cố chèn sự cố thứ hai cùng `(node,type)`</t>
        </is>
      </c>
      <c r="H335" s="10" t="inlineStr">
        <is>
          <t>—</t>
        </is>
      </c>
      <c r="I335" s="10" t="inlineStr">
        <is>
          <t>CSDL từ chối (unique filtered index)</t>
        </is>
      </c>
      <c r="J335" s="10" t="inlineStr">
        <is>
          <t>Reliability</t>
        </is>
      </c>
      <c r="K335" s="10" t="inlineStr">
        <is>
          <t>P1 - Cao</t>
        </is>
      </c>
      <c r="L335" s="10" t="inlineStr">
        <is>
          <t>BR-INC-001</t>
        </is>
      </c>
      <c r="M335" s="11" t="inlineStr">
        <is>
          <t>Chưa chạy</t>
        </is>
      </c>
      <c r="N335" s="11" t="inlineStr"/>
      <c r="O335" s="11" t="inlineStr"/>
      <c r="P335" s="11" t="inlineStr"/>
    </row>
    <row r="336">
      <c r="A336" s="10" t="n">
        <v>335</v>
      </c>
      <c r="B336" s="10" t="inlineStr">
        <is>
          <t>TC-INC-INT-003</t>
        </is>
      </c>
      <c r="C336" s="10" t="inlineStr">
        <is>
          <t>Incident</t>
        </is>
      </c>
      <c r="D336" s="10" t="inlineStr">
        <is>
          <t>Integration — Integration</t>
        </is>
      </c>
      <c r="E336" s="10" t="inlineStr">
        <is>
          <t>Message trùng</t>
        </is>
      </c>
      <c r="F336" s="10" t="inlineStr">
        <is>
          <t>—</t>
        </is>
      </c>
      <c r="G336" s="10" t="inlineStr">
        <is>
          <t>Publish cùng `MetricCollectedV1` 3 lần</t>
        </is>
      </c>
      <c r="H336" s="10" t="inlineStr">
        <is>
          <t>—</t>
        </is>
      </c>
      <c r="I336" s="10" t="inlineStr">
        <is>
          <t>`occurrenceCount` chỉ tăng 1 lần</t>
        </is>
      </c>
      <c r="J336" s="10" t="inlineStr">
        <is>
          <t>Reliability</t>
        </is>
      </c>
      <c r="K336" s="10" t="inlineStr">
        <is>
          <t>P1 - Cao</t>
        </is>
      </c>
      <c r="L336" s="10" t="inlineStr">
        <is>
          <t>NFR-AVL-003</t>
        </is>
      </c>
      <c r="M336" s="11" t="inlineStr">
        <is>
          <t>Chưa chạy</t>
        </is>
      </c>
      <c r="N336" s="11" t="inlineStr"/>
      <c r="O336" s="11" t="inlineStr"/>
      <c r="P336" s="11" t="inlineStr"/>
    </row>
    <row r="337">
      <c r="A337" s="10" t="n">
        <v>336</v>
      </c>
      <c r="B337" s="10" t="inlineStr">
        <is>
          <t>TC-INC-INT-004</t>
        </is>
      </c>
      <c r="C337" s="10" t="inlineStr">
        <is>
          <t>Incident</t>
        </is>
      </c>
      <c r="D337" s="10" t="inlineStr">
        <is>
          <t>Integration — Integration</t>
        </is>
      </c>
      <c r="E337" s="10" t="inlineStr">
        <is>
          <t>Hai snapshot đồng thời</t>
        </is>
      </c>
      <c r="F337" s="10" t="inlineStr">
        <is>
          <t>—</t>
        </is>
      </c>
      <c r="G337" s="10" t="inlineStr">
        <is>
          <t>Publish song song 2 snapshot cùng node</t>
        </is>
      </c>
      <c r="H337" s="10" t="inlineStr">
        <is>
          <t>—</t>
        </is>
      </c>
      <c r="I337" s="10" t="inlineStr">
        <is>
          <t>Không tạo 2 sự cố; xung đột được retry thành công</t>
        </is>
      </c>
      <c r="J337" s="10" t="inlineStr">
        <is>
          <t>Reliability</t>
        </is>
      </c>
      <c r="K337" s="10" t="inlineStr">
        <is>
          <t>P1 - Cao</t>
        </is>
      </c>
      <c r="L337" s="10" t="inlineStr">
        <is>
          <t>UC-INC-01/E2</t>
        </is>
      </c>
      <c r="M337" s="11" t="inlineStr">
        <is>
          <t>Chưa chạy</t>
        </is>
      </c>
      <c r="N337" s="11" t="inlineStr"/>
      <c r="O337" s="11" t="inlineStr"/>
      <c r="P337" s="11" t="inlineStr"/>
    </row>
    <row r="338">
      <c r="A338" s="10" t="n">
        <v>337</v>
      </c>
      <c r="B338" s="10" t="inlineStr">
        <is>
          <t>TC-INC-INT-005</t>
        </is>
      </c>
      <c r="C338" s="10" t="inlineStr">
        <is>
          <t>Incident</t>
        </is>
      </c>
      <c r="D338" s="10" t="inlineStr">
        <is>
          <t>Integration — Integration</t>
        </is>
      </c>
      <c r="E338" s="10" t="inlineStr">
        <is>
          <t>Node không liên lạc được</t>
        </is>
      </c>
      <c r="F338" s="10" t="inlineStr">
        <is>
          <t>—</t>
        </is>
      </c>
      <c r="G338" s="10" t="inlineStr">
        <is>
          <t>Publish `NodeUnreachableV1`</t>
        </is>
      </c>
      <c r="H338" s="10" t="inlineStr">
        <is>
          <t>—</t>
        </is>
      </c>
      <c r="I338" s="10" t="inlineStr">
        <is>
          <t>Mở `NODE_UNREACHABLE` CRITICAL ngay lần đầu</t>
        </is>
      </c>
      <c r="J338" s="10" t="inlineStr">
        <is>
          <t>Functional</t>
        </is>
      </c>
      <c r="K338" s="10" t="inlineStr">
        <is>
          <t>P1 - Cao</t>
        </is>
      </c>
      <c r="L338" s="10" t="inlineStr">
        <is>
          <t>FR-INC-014</t>
        </is>
      </c>
      <c r="M338" s="11" t="inlineStr">
        <is>
          <t>Chưa chạy</t>
        </is>
      </c>
      <c r="N338" s="11" t="inlineStr"/>
      <c r="O338" s="11" t="inlineStr"/>
      <c r="P338" s="11" t="inlineStr"/>
    </row>
    <row r="339">
      <c r="A339" s="10" t="n">
        <v>338</v>
      </c>
      <c r="B339" s="10" t="inlineStr">
        <is>
          <t>TC-INC-INT-006</t>
        </is>
      </c>
      <c r="C339" s="10" t="inlineStr">
        <is>
          <t>Incident</t>
        </is>
      </c>
      <c r="D339" s="10" t="inlineStr">
        <is>
          <t>Integration — Integration</t>
        </is>
      </c>
      <c r="E339" s="10" t="inlineStr">
        <is>
          <t>Node liên lạc lại</t>
        </is>
      </c>
      <c r="F339" s="10" t="inlineStr">
        <is>
          <t>Có sự cố NODE_UNREACHABLE</t>
        </is>
      </c>
      <c r="G339" s="10" t="inlineStr">
        <is>
          <t>Publish `MetricCollectedV1` thành công</t>
        </is>
      </c>
      <c r="H339" s="10" t="inlineStr">
        <is>
          <t>—</t>
        </is>
      </c>
      <c r="I339" s="10" t="inlineStr">
        <is>
          <t>Sự cố tự đóng ngay</t>
        </is>
      </c>
      <c r="J339" s="10" t="inlineStr">
        <is>
          <t>Functional</t>
        </is>
      </c>
      <c r="K339" s="10" t="inlineStr">
        <is>
          <t>P1 - Cao</t>
        </is>
      </c>
      <c r="L339" s="10" t="inlineStr">
        <is>
          <t>FR-INC-015</t>
        </is>
      </c>
      <c r="M339" s="11" t="inlineStr">
        <is>
          <t>Chưa chạy</t>
        </is>
      </c>
      <c r="N339" s="11" t="inlineStr"/>
      <c r="O339" s="11" t="inlineStr"/>
      <c r="P339" s="11" t="inlineStr"/>
    </row>
    <row r="340">
      <c r="A340" s="10" t="n">
        <v>339</v>
      </c>
      <c r="B340" s="10" t="inlineStr">
        <is>
          <t>TC-INC-INT-007</t>
        </is>
      </c>
      <c r="C340" s="10" t="inlineStr">
        <is>
          <t>Incident</t>
        </is>
      </c>
      <c r="D340" s="10" t="inlineStr">
        <is>
          <t>Integration — Integration</t>
        </is>
      </c>
      <c r="E340" s="10" t="inlineStr">
        <is>
          <t>Host key mismatch</t>
        </is>
      </c>
      <c r="F340" s="10" t="inlineStr">
        <is>
          <t>—</t>
        </is>
      </c>
      <c r="G340" s="10" t="inlineStr">
        <is>
          <t>Publish `NodeUnreachableV1` `failureKind=HostKeyMismatch`</t>
        </is>
      </c>
      <c r="H340" s="10" t="inlineStr">
        <is>
          <t>—</t>
        </is>
      </c>
      <c r="I340" s="10" t="inlineStr">
        <is>
          <t>Mở sự cố `HOST_KEY_MISMATCH` CRITICAL</t>
        </is>
      </c>
      <c r="J340" s="10" t="inlineStr">
        <is>
          <t>Security</t>
        </is>
      </c>
      <c r="K340" s="10" t="inlineStr">
        <is>
          <t>P1 - Cao</t>
        </is>
      </c>
      <c r="L340" s="10" t="inlineStr">
        <is>
          <t>FR-INC-014</t>
        </is>
      </c>
      <c r="M340" s="11" t="inlineStr">
        <is>
          <t>Chưa chạy</t>
        </is>
      </c>
      <c r="N340" s="11" t="inlineStr"/>
      <c r="O340" s="11" t="inlineStr"/>
      <c r="P340" s="11" t="inlineStr"/>
    </row>
    <row r="341">
      <c r="A341" s="10" t="n">
        <v>340</v>
      </c>
      <c r="B341" s="10" t="inlineStr">
        <is>
          <t>TC-INC-INT-008</t>
        </is>
      </c>
      <c r="C341" s="10" t="inlineStr">
        <is>
          <t>Incident</t>
        </is>
      </c>
      <c r="D341" s="10" t="inlineStr">
        <is>
          <t>Integration — Integration</t>
        </is>
      </c>
      <c r="E341" s="10" t="inlineStr">
        <is>
          <t>Tắt giám sát đóng sự cố</t>
        </is>
      </c>
      <c r="F341" s="10" t="inlineStr">
        <is>
          <t>Node có 2 sự cố mở</t>
        </is>
      </c>
      <c r="G341" s="10" t="inlineStr">
        <is>
          <t>Publish `NodeMonitoringToggledV1 {isActive:false}`</t>
        </is>
      </c>
      <c r="H341" s="10" t="inlineStr">
        <is>
          <t>—</t>
        </is>
      </c>
      <c r="I341" s="10" t="inlineStr">
        <is>
          <t>Cả 2 đóng với lý do hệ thống</t>
        </is>
      </c>
      <c r="J341" s="10" t="inlineStr">
        <is>
          <t>Functional</t>
        </is>
      </c>
      <c r="K341" s="10" t="inlineStr">
        <is>
          <t>P1 - Cao</t>
        </is>
      </c>
      <c r="L341" s="10" t="inlineStr">
        <is>
          <t>FR-INC-018</t>
        </is>
      </c>
      <c r="M341" s="11" t="inlineStr">
        <is>
          <t>Chưa chạy</t>
        </is>
      </c>
      <c r="N341" s="11" t="inlineStr"/>
      <c r="O341" s="11" t="inlineStr"/>
      <c r="P341" s="11" t="inlineStr"/>
    </row>
    <row r="342">
      <c r="A342" s="10" t="n">
        <v>341</v>
      </c>
      <c r="B342" s="10" t="inlineStr">
        <is>
          <t>TC-INC-INT-009</t>
        </is>
      </c>
      <c r="C342" s="10" t="inlineStr">
        <is>
          <t>Incident</t>
        </is>
      </c>
      <c r="D342" s="10" t="inlineStr">
        <is>
          <t>Integration — Integration</t>
        </is>
      </c>
      <c r="E342" s="10" t="inlineStr">
        <is>
          <t>Xóa node đóng sự cố</t>
        </is>
      </c>
      <c r="F342" s="10" t="inlineStr">
        <is>
          <t>Node có sự cố mở</t>
        </is>
      </c>
      <c r="G342" s="10" t="inlineStr">
        <is>
          <t>Publish `NodeDeletedV1`</t>
        </is>
      </c>
      <c r="H342" s="10" t="inlineStr">
        <is>
          <t>—</t>
        </is>
      </c>
      <c r="I342" s="10" t="inlineStr">
        <is>
          <t>Sự cố đóng; `NodeName` vẫn hiển thị được</t>
        </is>
      </c>
      <c r="J342" s="10" t="inlineStr">
        <is>
          <t>Functional</t>
        </is>
      </c>
      <c r="K342" s="10" t="inlineStr">
        <is>
          <t>P1 - Cao</t>
        </is>
      </c>
      <c r="L342" s="10" t="inlineStr">
        <is>
          <t>BR-INC-005</t>
        </is>
      </c>
      <c r="M342" s="11" t="inlineStr">
        <is>
          <t>Chưa chạy</t>
        </is>
      </c>
      <c r="N342" s="11" t="inlineStr"/>
      <c r="O342" s="11" t="inlineStr"/>
      <c r="P342" s="11" t="inlineStr"/>
    </row>
    <row r="343">
      <c r="A343" s="10" t="n">
        <v>342</v>
      </c>
      <c r="B343" s="10" t="inlineStr">
        <is>
          <t>TC-INC-INT-010</t>
        </is>
      </c>
      <c r="C343" s="10" t="inlineStr">
        <is>
          <t>Incident</t>
        </is>
      </c>
      <c r="D343" s="10" t="inlineStr">
        <is>
          <t>Integration — Integration</t>
        </is>
      </c>
      <c r="E343" s="10" t="inlineStr">
        <is>
          <t>Ghi nhật ký vòng đời</t>
        </is>
      </c>
      <c r="F343" s="10" t="inlineStr">
        <is>
          <t>—</t>
        </is>
      </c>
      <c r="G343" s="10" t="inlineStr">
        <is>
          <t>Mở → tái diễn → nâng cấp → ACK → đóng</t>
        </is>
      </c>
      <c r="H343" s="10" t="inlineStr">
        <is>
          <t>—</t>
        </is>
      </c>
      <c r="I343" s="10" t="inlineStr">
        <is>
          <t>5 bản ghi `IncidentEvents` đúng thứ tự</t>
        </is>
      </c>
      <c r="J343" s="10" t="inlineStr">
        <is>
          <t>Functional</t>
        </is>
      </c>
      <c r="K343" s="10" t="inlineStr">
        <is>
          <t>P2 - Trung bình</t>
        </is>
      </c>
      <c r="L343" s="10" t="inlineStr">
        <is>
          <t>FR-INC-019</t>
        </is>
      </c>
      <c r="M343" s="11" t="inlineStr">
        <is>
          <t>Chưa chạy</t>
        </is>
      </c>
      <c r="N343" s="11" t="inlineStr"/>
      <c r="O343" s="11" t="inlineStr"/>
      <c r="P343" s="11" t="inlineStr"/>
    </row>
    <row r="344">
      <c r="A344" s="10" t="n">
        <v>343</v>
      </c>
      <c r="B344" s="10" t="inlineStr">
        <is>
          <t>TC-INC-INT-011</t>
        </is>
      </c>
      <c r="C344" s="10" t="inlineStr">
        <is>
          <t>Incident</t>
        </is>
      </c>
      <c r="D344" s="10" t="inlineStr">
        <is>
          <t>Integration — Integration</t>
        </is>
      </c>
      <c r="E344" s="10" t="inlineStr">
        <is>
          <t>Đổi chính sách không hồi tố</t>
        </is>
      </c>
      <c r="F344" s="10" t="inlineStr">
        <is>
          <t>Sự cố đang mở với ngưỡng 90</t>
        </is>
      </c>
      <c r="G344" s="10" t="inlineStr">
        <is>
          <t>Đổi ngưỡng thành 95</t>
        </is>
      </c>
      <c r="H344" s="10" t="inlineStr">
        <is>
          <t>—</t>
        </is>
      </c>
      <c r="I344" s="10" t="inlineStr">
        <is>
          <t>Sự cố hiện tại giữ nguyên; snapshot kế tiếp dùng ngưỡng mới</t>
        </is>
      </c>
      <c r="J344" s="10" t="inlineStr">
        <is>
          <t>Functional</t>
        </is>
      </c>
      <c r="K344" s="10" t="inlineStr">
        <is>
          <t>P2 - Trung bình</t>
        </is>
      </c>
      <c r="L344" s="10" t="inlineStr">
        <is>
          <t>FR-INC-005</t>
        </is>
      </c>
      <c r="M344" s="11" t="inlineStr">
        <is>
          <t>Chưa chạy</t>
        </is>
      </c>
      <c r="N344" s="11" t="inlineStr"/>
      <c r="O344" s="11" t="inlineStr"/>
      <c r="P344" s="11" t="inlineStr"/>
    </row>
    <row r="345">
      <c r="A345" s="10" t="n">
        <v>344</v>
      </c>
      <c r="B345" s="10" t="inlineStr">
        <is>
          <t>TC-INC-INT-012</t>
        </is>
      </c>
      <c r="C345" s="10" t="inlineStr">
        <is>
          <t>Incident</t>
        </is>
      </c>
      <c r="D345" s="10" t="inlineStr">
        <is>
          <t>Integration — Integration</t>
        </is>
      </c>
      <c r="E345" s="10" t="inlineStr">
        <is>
          <t>Hiệu năng xử lý event</t>
        </is>
      </c>
      <c r="F345" s="10" t="inlineStr">
        <is>
          <t>—</t>
        </is>
      </c>
      <c r="G345" s="10" t="inlineStr">
        <is>
          <t>Publish 1.000 snapshot</t>
        </is>
      </c>
      <c r="H345" s="10" t="inlineStr">
        <is>
          <t>—</t>
        </is>
      </c>
      <c r="I345" s="10" t="inlineStr">
        <is>
          <t>p95 xử lý ≤ 50 ms/message, không dồn queue</t>
        </is>
      </c>
      <c r="J345" s="10" t="inlineStr">
        <is>
          <t>Performance</t>
        </is>
      </c>
      <c r="K345" s="10" t="inlineStr">
        <is>
          <t>P2 - Trung bình</t>
        </is>
      </c>
      <c r="L345" s="10" t="inlineStr">
        <is>
          <t>SRS §10</t>
        </is>
      </c>
      <c r="M345" s="11" t="inlineStr">
        <is>
          <t>Chưa chạy</t>
        </is>
      </c>
      <c r="N345" s="11" t="inlineStr"/>
      <c r="O345" s="11" t="inlineStr"/>
      <c r="P345" s="11" t="inlineStr"/>
    </row>
    <row r="346">
      <c r="A346" s="10" t="n">
        <v>345</v>
      </c>
      <c r="B346" s="10" t="inlineStr">
        <is>
          <t>TC-INC-API-001</t>
        </is>
      </c>
      <c r="C346" s="10" t="inlineStr">
        <is>
          <t>Incident</t>
        </is>
      </c>
      <c r="D346" s="10" t="inlineStr">
        <is>
          <t>API — API</t>
        </is>
      </c>
      <c r="E346" s="10" t="inlineStr">
        <is>
          <t>Danh sách có lọc &amp; phân trang</t>
        </is>
      </c>
      <c r="F346" s="10" t="inlineStr">
        <is>
          <t>≥ 30 sự cố</t>
        </is>
      </c>
      <c r="G346" s="10" t="inlineStr">
        <is>
          <t>`GET /incidents?status=OPEN&amp;severity=CRITICAL&amp;page=1&amp;pageSize=10`</t>
        </is>
      </c>
      <c r="H346" s="10" t="inlineStr">
        <is>
          <t>—</t>
        </is>
      </c>
      <c r="I346" s="10" t="inlineStr">
        <is>
          <t>200, đúng bộ lọc, mới nhất trước</t>
        </is>
      </c>
      <c r="J346" s="10" t="inlineStr">
        <is>
          <t>Functional</t>
        </is>
      </c>
      <c r="K346" s="10" t="inlineStr">
        <is>
          <t>P1 - Cao</t>
        </is>
      </c>
      <c r="L346" s="10" t="inlineStr">
        <is>
          <t>FR-INC-030</t>
        </is>
      </c>
      <c r="M346" s="11" t="inlineStr">
        <is>
          <t>Chưa chạy</t>
        </is>
      </c>
      <c r="N346" s="11" t="inlineStr"/>
      <c r="O346" s="11" t="inlineStr"/>
      <c r="P346" s="11" t="inlineStr"/>
    </row>
    <row r="347">
      <c r="A347" s="10" t="n">
        <v>346</v>
      </c>
      <c r="B347" s="10" t="inlineStr">
        <is>
          <t>TC-INC-API-002</t>
        </is>
      </c>
      <c r="C347" s="10" t="inlineStr">
        <is>
          <t>Incident</t>
        </is>
      </c>
      <c r="D347" s="10" t="inlineStr">
        <is>
          <t>API — API</t>
        </is>
      </c>
      <c r="E347" s="10" t="inlineStr">
        <is>
          <t>Lọc theo node và thời gian</t>
        </is>
      </c>
      <c r="F347" s="10" t="inlineStr">
        <is>
          <t>—</t>
        </is>
      </c>
      <c r="G347" s="10" t="inlineStr">
        <is>
          <t>`?nodeId=…&amp;from=…&amp;to=…`</t>
        </is>
      </c>
      <c r="H347" s="10" t="inlineStr">
        <is>
          <t>—</t>
        </is>
      </c>
      <c r="I347" s="10" t="inlineStr">
        <is>
          <t>Chỉ sự cố khớp</t>
        </is>
      </c>
      <c r="J347" s="10" t="inlineStr">
        <is>
          <t>Functional</t>
        </is>
      </c>
      <c r="K347" s="10" t="inlineStr">
        <is>
          <t>P2 - Trung bình</t>
        </is>
      </c>
      <c r="L347" s="10" t="inlineStr">
        <is>
          <t>FR-INC-030</t>
        </is>
      </c>
      <c r="M347" s="11" t="inlineStr">
        <is>
          <t>Chưa chạy</t>
        </is>
      </c>
      <c r="N347" s="11" t="inlineStr"/>
      <c r="O347" s="11" t="inlineStr"/>
      <c r="P347" s="11" t="inlineStr"/>
    </row>
    <row r="348">
      <c r="A348" s="10" t="n">
        <v>347</v>
      </c>
      <c r="B348" s="10" t="inlineStr">
        <is>
          <t>TC-INC-API-003</t>
        </is>
      </c>
      <c r="C348" s="10" t="inlineStr">
        <is>
          <t>Incident</t>
        </is>
      </c>
      <c r="D348" s="10" t="inlineStr">
        <is>
          <t>API — API</t>
        </is>
      </c>
      <c r="E348" s="10" t="inlineStr">
        <is>
          <t>Response là DTO</t>
        </is>
      </c>
      <c r="F348" s="10" t="inlineStr">
        <is>
          <t>—</t>
        </is>
      </c>
      <c r="G348" s="10" t="inlineStr">
        <is>
          <t>Gọi danh sách</t>
        </is>
      </c>
      <c r="H348" s="10" t="inlineStr">
        <is>
          <t>—</t>
        </is>
      </c>
      <c r="I348" s="10" t="inlineStr">
        <is>
          <t>Không có object `node` lồng, không lộ trường nội bộ (khác v1 trả entity)</t>
        </is>
      </c>
      <c r="J348" s="10" t="inlineStr">
        <is>
          <t>Security</t>
        </is>
      </c>
      <c r="K348" s="10" t="inlineStr">
        <is>
          <t>P1 - Cao</t>
        </is>
      </c>
      <c r="L348" s="10" t="inlineStr">
        <is>
          <t>Quy ước §6.4</t>
        </is>
      </c>
      <c r="M348" s="11" t="inlineStr">
        <is>
          <t>Chưa chạy</t>
        </is>
      </c>
      <c r="N348" s="11" t="inlineStr"/>
      <c r="O348" s="11" t="inlineStr"/>
      <c r="P348" s="11" t="inlineStr"/>
    </row>
    <row r="349">
      <c r="A349" s="10" t="n">
        <v>348</v>
      </c>
      <c r="B349" s="10" t="inlineStr">
        <is>
          <t>TC-INC-API-004</t>
        </is>
      </c>
      <c r="C349" s="10" t="inlineStr">
        <is>
          <t>Incident</t>
        </is>
      </c>
      <c r="D349" s="10" t="inlineStr">
        <is>
          <t>API — API</t>
        </is>
      </c>
      <c r="E349" s="10" t="inlineStr">
        <is>
          <t>Chi tiết sự cố</t>
        </is>
      </c>
      <c r="F349" s="10" t="inlineStr">
        <is>
          <t>Sự cố tồn tại</t>
        </is>
      </c>
      <c r="G349" s="10" t="inlineStr">
        <is>
          <t>`GET /incidents/{id}`</t>
        </is>
      </c>
      <c r="H349" s="10" t="inlineStr">
        <is>
          <t>—</t>
        </is>
      </c>
      <c r="I349" s="10" t="inlineStr">
        <is>
          <t>200 kèm dòng thời gian và metric quanh thời điểm phát hiện</t>
        </is>
      </c>
      <c r="J349" s="10" t="inlineStr">
        <is>
          <t>Functional</t>
        </is>
      </c>
      <c r="K349" s="10" t="inlineStr">
        <is>
          <t>P2 - Trung bình</t>
        </is>
      </c>
      <c r="L349" s="10" t="inlineStr">
        <is>
          <t>FR-INC-031</t>
        </is>
      </c>
      <c r="M349" s="11" t="inlineStr">
        <is>
          <t>Chưa chạy</t>
        </is>
      </c>
      <c r="N349" s="11" t="inlineStr"/>
      <c r="O349" s="11" t="inlineStr"/>
      <c r="P349" s="11" t="inlineStr"/>
    </row>
    <row r="350">
      <c r="A350" s="10" t="n">
        <v>349</v>
      </c>
      <c r="B350" s="10" t="inlineStr">
        <is>
          <t>TC-INC-API-005</t>
        </is>
      </c>
      <c r="C350" s="10" t="inlineStr">
        <is>
          <t>Incident</t>
        </is>
      </c>
      <c r="D350" s="10" t="inlineStr">
        <is>
          <t>API — API</t>
        </is>
      </c>
      <c r="E350" s="10" t="inlineStr">
        <is>
          <t>Acknowledge thành công</t>
        </is>
      </c>
      <c r="F350" s="10" t="inlineStr">
        <is>
          <t>Sự cố OPEN, OPERATOR</t>
        </is>
      </c>
      <c r="G350" s="10" t="inlineStr">
        <is>
          <t>`PUT /incidents/{id}/acknowledge`</t>
        </is>
      </c>
      <c r="H350" s="10" t="inlineStr">
        <is>
          <t>`{"note":"Đang kiểm tra"}`</t>
        </is>
      </c>
      <c r="I350" s="10" t="inlineStr">
        <is>
          <t>200, status `ACKNOWLEDGED`, có `acknowledgedBy`</t>
        </is>
      </c>
      <c r="J350" s="10" t="inlineStr">
        <is>
          <t>Functional</t>
        </is>
      </c>
      <c r="K350" s="10" t="inlineStr">
        <is>
          <t>P1 - Cao</t>
        </is>
      </c>
      <c r="L350" s="10" t="inlineStr">
        <is>
          <t>FR-INC-016</t>
        </is>
      </c>
      <c r="M350" s="11" t="inlineStr">
        <is>
          <t>Chưa chạy</t>
        </is>
      </c>
      <c r="N350" s="11" t="inlineStr"/>
      <c r="O350" s="11" t="inlineStr"/>
      <c r="P350" s="11" t="inlineStr"/>
    </row>
    <row r="351">
      <c r="A351" s="10" t="n">
        <v>350</v>
      </c>
      <c r="B351" s="10" t="inlineStr">
        <is>
          <t>TC-INC-API-006</t>
        </is>
      </c>
      <c r="C351" s="10" t="inlineStr">
        <is>
          <t>Incident</t>
        </is>
      </c>
      <c r="D351" s="10" t="inlineStr">
        <is>
          <t>API — API</t>
        </is>
      </c>
      <c r="E351" s="10" t="inlineStr">
        <is>
          <t>Acknowledge sự cố đã đóng</t>
        </is>
      </c>
      <c r="F351" s="10" t="inlineStr">
        <is>
          <t>Sự cố RESOLVED</t>
        </is>
      </c>
      <c r="G351" s="10" t="inlineStr">
        <is>
          <t>như trên</t>
        </is>
      </c>
      <c r="H351" s="10" t="inlineStr">
        <is>
          <t>—</t>
        </is>
      </c>
      <c r="I351" s="10" t="inlineStr">
        <is>
          <t>409 `SOE-INC-409`</t>
        </is>
      </c>
      <c r="J351" s="10" t="inlineStr">
        <is>
          <t>Validation</t>
        </is>
      </c>
      <c r="K351" s="10" t="inlineStr">
        <is>
          <t>P1 - Cao</t>
        </is>
      </c>
      <c r="L351" s="10" t="inlineStr">
        <is>
          <t>BR-INC-003</t>
        </is>
      </c>
      <c r="M351" s="11" t="inlineStr">
        <is>
          <t>Chưa chạy</t>
        </is>
      </c>
      <c r="N351" s="11" t="inlineStr"/>
      <c r="O351" s="11" t="inlineStr"/>
      <c r="P351" s="11" t="inlineStr"/>
    </row>
    <row r="352">
      <c r="A352" s="10" t="n">
        <v>351</v>
      </c>
      <c r="B352" s="10" t="inlineStr">
        <is>
          <t>TC-INC-API-007</t>
        </is>
      </c>
      <c r="C352" s="10" t="inlineStr">
        <is>
          <t>Incident</t>
        </is>
      </c>
      <c r="D352" s="10" t="inlineStr">
        <is>
          <t>API — API</t>
        </is>
      </c>
      <c r="E352" s="10" t="inlineStr">
        <is>
          <t>Ghi chú quá dài</t>
        </is>
      </c>
      <c r="F352" s="10" t="inlineStr">
        <is>
          <t>—</t>
        </is>
      </c>
      <c r="G352" s="10" t="inlineStr">
        <is>
          <t>`note` 600 ký tự</t>
        </is>
      </c>
      <c r="H352" s="10" t="inlineStr">
        <is>
          <t>—</t>
        </is>
      </c>
      <c r="I352" s="10" t="inlineStr">
        <is>
          <t>400</t>
        </is>
      </c>
      <c r="J352" s="10" t="inlineStr">
        <is>
          <t>Validation</t>
        </is>
      </c>
      <c r="K352" s="10" t="inlineStr">
        <is>
          <t>P2 - Trung bình</t>
        </is>
      </c>
      <c r="L352" s="10" t="inlineStr">
        <is>
          <t>SRS §7</t>
        </is>
      </c>
      <c r="M352" s="11" t="inlineStr">
        <is>
          <t>Chưa chạy</t>
        </is>
      </c>
      <c r="N352" s="11" t="inlineStr"/>
      <c r="O352" s="11" t="inlineStr"/>
      <c r="P352" s="11" t="inlineStr"/>
    </row>
    <row r="353">
      <c r="A353" s="10" t="n">
        <v>352</v>
      </c>
      <c r="B353" s="10" t="inlineStr">
        <is>
          <t>TC-INC-API-008</t>
        </is>
      </c>
      <c r="C353" s="10" t="inlineStr">
        <is>
          <t>Incident</t>
        </is>
      </c>
      <c r="D353" s="10" t="inlineStr">
        <is>
          <t>API — API</t>
        </is>
      </c>
      <c r="E353" s="10" t="inlineStr">
        <is>
          <t>Resolve thành công</t>
        </is>
      </c>
      <c r="F353" s="10" t="inlineStr">
        <is>
          <t>Sự cố OPEN</t>
        </is>
      </c>
      <c r="G353" s="10" t="inlineStr">
        <is>
          <t>`PUT /incidents/{id}/resolve`</t>
        </is>
      </c>
      <c r="H353" s="10" t="inlineStr">
        <is>
          <t>`{"resolutionAction":"Đã dọn log cũ"}`</t>
        </is>
      </c>
      <c r="I353" s="10" t="inlineStr">
        <is>
          <t>200, `resolvedSource=USER`, `resolvedAt` khác null</t>
        </is>
      </c>
      <c r="J353" s="10" t="inlineStr">
        <is>
          <t>Functional</t>
        </is>
      </c>
      <c r="K353" s="10" t="inlineStr">
        <is>
          <t>P1 - Cao</t>
        </is>
      </c>
      <c r="L353" s="10" t="inlineStr">
        <is>
          <t>FR-INC-017</t>
        </is>
      </c>
      <c r="M353" s="11" t="inlineStr">
        <is>
          <t>Chưa chạy</t>
        </is>
      </c>
      <c r="N353" s="11" t="inlineStr"/>
      <c r="O353" s="11" t="inlineStr"/>
      <c r="P353" s="11" t="inlineStr"/>
    </row>
    <row r="354">
      <c r="A354" s="10" t="n">
        <v>353</v>
      </c>
      <c r="B354" s="10" t="inlineStr">
        <is>
          <t>TC-INC-API-009</t>
        </is>
      </c>
      <c r="C354" s="10" t="inlineStr">
        <is>
          <t>Incident</t>
        </is>
      </c>
      <c r="D354" s="10" t="inlineStr">
        <is>
          <t>API — API</t>
        </is>
      </c>
      <c r="E354" s="10" t="inlineStr">
        <is>
          <t>Resolve thiếu nội dung</t>
        </is>
      </c>
      <c r="F354" s="10" t="inlineStr">
        <is>
          <t>—</t>
        </is>
      </c>
      <c r="G354" s="10" t="inlineStr">
        <is>
          <t>body rỗng</t>
        </is>
      </c>
      <c r="H354" s="10" t="inlineStr">
        <is>
          <t>—</t>
        </is>
      </c>
      <c r="I354" s="10" t="inlineStr">
        <is>
          <t>400 `errors.resolutionAction`</t>
        </is>
      </c>
      <c r="J354" s="10" t="inlineStr">
        <is>
          <t>Validation</t>
        </is>
      </c>
      <c r="K354" s="10" t="inlineStr">
        <is>
          <t>P1 - Cao</t>
        </is>
      </c>
      <c r="L354" s="10" t="inlineStr">
        <is>
          <t>SRS §7</t>
        </is>
      </c>
      <c r="M354" s="11" t="inlineStr">
        <is>
          <t>Chưa chạy</t>
        </is>
      </c>
      <c r="N354" s="11" t="inlineStr"/>
      <c r="O354" s="11" t="inlineStr"/>
      <c r="P354" s="11" t="inlineStr"/>
    </row>
    <row r="355">
      <c r="A355" s="10" t="n">
        <v>354</v>
      </c>
      <c r="B355" s="10" t="inlineStr">
        <is>
          <t>TC-INC-API-010</t>
        </is>
      </c>
      <c r="C355" s="10" t="inlineStr">
        <is>
          <t>Incident</t>
        </is>
      </c>
      <c r="D355" s="10" t="inlineStr">
        <is>
          <t>API — API</t>
        </is>
      </c>
      <c r="E355" s="10" t="inlineStr">
        <is>
          <t>Resolve hai lần</t>
        </is>
      </c>
      <c r="F355" s="10" t="inlineStr">
        <is>
          <t>Vừa đóng</t>
        </is>
      </c>
      <c r="G355" s="10" t="inlineStr">
        <is>
          <t>Gọi lại</t>
        </is>
      </c>
      <c r="H355" s="10" t="inlineStr">
        <is>
          <t>—</t>
        </is>
      </c>
      <c r="I355" s="10" t="inlineStr">
        <is>
          <t>409</t>
        </is>
      </c>
      <c r="J355" s="10" t="inlineStr">
        <is>
          <t>Validation</t>
        </is>
      </c>
      <c r="K355" s="10" t="inlineStr">
        <is>
          <t>P1 - Cao</t>
        </is>
      </c>
      <c r="L355" s="10" t="inlineStr">
        <is>
          <t>BR-INC-003</t>
        </is>
      </c>
      <c r="M355" s="11" t="inlineStr">
        <is>
          <t>Chưa chạy</t>
        </is>
      </c>
      <c r="N355" s="11" t="inlineStr"/>
      <c r="O355" s="11" t="inlineStr"/>
      <c r="P355" s="11" t="inlineStr"/>
    </row>
    <row r="356">
      <c r="A356" s="10" t="n">
        <v>355</v>
      </c>
      <c r="B356" s="10" t="inlineStr">
        <is>
          <t>TC-INC-API-011</t>
        </is>
      </c>
      <c r="C356" s="10" t="inlineStr">
        <is>
          <t>Incident</t>
        </is>
      </c>
      <c r="D356" s="10" t="inlineStr">
        <is>
          <t>API — API</t>
        </is>
      </c>
      <c r="E356" s="10" t="inlineStr">
        <is>
          <t>VIEWER acknowledge</t>
        </is>
      </c>
      <c r="F356" s="10" t="inlineStr">
        <is>
          <t>Đăng nhập VIEWER</t>
        </is>
      </c>
      <c r="G356" s="10" t="inlineStr">
        <is>
          <t>`PUT …/acknowledge`</t>
        </is>
      </c>
      <c r="H356" s="10" t="inlineStr">
        <is>
          <t>—</t>
        </is>
      </c>
      <c r="I356" s="10" t="inlineStr">
        <is>
          <t>403</t>
        </is>
      </c>
      <c r="J356" s="10" t="inlineStr">
        <is>
          <t>Security</t>
        </is>
      </c>
      <c r="K356" s="10" t="inlineStr">
        <is>
          <t>P1 - Cao</t>
        </is>
      </c>
      <c r="L356" s="10" t="inlineStr">
        <is>
          <t>NFR-SEC-008</t>
        </is>
      </c>
      <c r="M356" s="11" t="inlineStr">
        <is>
          <t>Chưa chạy</t>
        </is>
      </c>
      <c r="N356" s="11" t="inlineStr"/>
      <c r="O356" s="11" t="inlineStr"/>
      <c r="P356" s="11" t="inlineStr"/>
    </row>
    <row r="357">
      <c r="A357" s="10" t="n">
        <v>356</v>
      </c>
      <c r="B357" s="10" t="inlineStr">
        <is>
          <t>TC-INC-API-012</t>
        </is>
      </c>
      <c r="C357" s="10" t="inlineStr">
        <is>
          <t>Incident</t>
        </is>
      </c>
      <c r="D357" s="10" t="inlineStr">
        <is>
          <t>API — API</t>
        </is>
      </c>
      <c r="E357" s="10" t="inlineStr">
        <is>
          <t>Thống kê</t>
        </is>
      </c>
      <c r="F357" s="10" t="inlineStr">
        <is>
          <t>Có dữ liệu 24h</t>
        </is>
      </c>
      <c r="G357" s="10" t="inlineStr">
        <is>
          <t>`GET /incidents/stats?range=24h`</t>
        </is>
      </c>
      <c r="H357" s="10" t="inlineStr">
        <is>
          <t>—</t>
        </is>
      </c>
      <c r="I357" s="10" t="inlineStr">
        <is>
          <t>200 với số sự cố mở theo severity, mới/đóng trong 24h, MTTR, top 5 node</t>
        </is>
      </c>
      <c r="J357" s="10" t="inlineStr">
        <is>
          <t>Functional</t>
        </is>
      </c>
      <c r="K357" s="10" t="inlineStr">
        <is>
          <t>P2 - Trung bình</t>
        </is>
      </c>
      <c r="L357" s="10" t="inlineStr">
        <is>
          <t>FR-INC-032</t>
        </is>
      </c>
      <c r="M357" s="11" t="inlineStr">
        <is>
          <t>Chưa chạy</t>
        </is>
      </c>
      <c r="N357" s="11" t="inlineStr"/>
      <c r="O357" s="11" t="inlineStr"/>
      <c r="P357" s="11" t="inlineStr"/>
    </row>
    <row r="358">
      <c r="A358" s="10" t="n">
        <v>357</v>
      </c>
      <c r="B358" s="10" t="inlineStr">
        <is>
          <t>TC-INC-API-013</t>
        </is>
      </c>
      <c r="C358" s="10" t="inlineStr">
        <is>
          <t>Incident</t>
        </is>
      </c>
      <c r="D358" s="10" t="inlineStr">
        <is>
          <t>API — API</t>
        </is>
      </c>
      <c r="E358" s="10" t="inlineStr">
        <is>
          <t>Xuất CSV</t>
        </is>
      </c>
      <c r="F358" s="10" t="inlineStr">
        <is>
          <t>OPERATOR</t>
        </is>
      </c>
      <c r="G358" s="10" t="inlineStr">
        <is>
          <t>`GET /incidents/export?status=OPEN`</t>
        </is>
      </c>
      <c r="H358" s="10" t="inlineStr">
        <is>
          <t>—</t>
        </is>
      </c>
      <c r="I358" s="10" t="inlineStr">
        <is>
          <t>200 CSV đúng bộ lọc; audit ghi nhận</t>
        </is>
      </c>
      <c r="J358" s="10" t="inlineStr">
        <is>
          <t>Functional</t>
        </is>
      </c>
      <c r="K358" s="10" t="inlineStr">
        <is>
          <t>P3 - Thấp</t>
        </is>
      </c>
      <c r="L358" s="10" t="inlineStr">
        <is>
          <t>FR-INC-033</t>
        </is>
      </c>
      <c r="M358" s="11" t="inlineStr">
        <is>
          <t>Chưa chạy</t>
        </is>
      </c>
      <c r="N358" s="11" t="inlineStr"/>
      <c r="O358" s="11" t="inlineStr"/>
      <c r="P358" s="11" t="inlineStr"/>
    </row>
    <row r="359">
      <c r="A359" s="10" t="n">
        <v>358</v>
      </c>
      <c r="B359" s="10" t="inlineStr">
        <is>
          <t>TC-INC-API-014</t>
        </is>
      </c>
      <c r="C359" s="10" t="inlineStr">
        <is>
          <t>Incident</t>
        </is>
      </c>
      <c r="D359" s="10" t="inlineStr">
        <is>
          <t>API — API</t>
        </is>
      </c>
      <c r="E359" s="10" t="inlineStr">
        <is>
          <t>Xem chính sách ngưỡng</t>
        </is>
      </c>
      <c r="F359" s="10" t="inlineStr">
        <is>
          <t>VIEWER</t>
        </is>
      </c>
      <c r="G359" s="10" t="inlineStr">
        <is>
          <t>`GET /threshold-policies`</t>
        </is>
      </c>
      <c r="H359" s="10" t="inlineStr">
        <is>
          <t>—</t>
        </is>
      </c>
      <c r="I359" s="10" t="inlineStr">
        <is>
          <t>200 (được xem)</t>
        </is>
      </c>
      <c r="J359" s="10" t="inlineStr">
        <is>
          <t>Functional</t>
        </is>
      </c>
      <c r="K359" s="10" t="inlineStr">
        <is>
          <t>P2 - Trung bình</t>
        </is>
      </c>
      <c r="L359" s="10" t="inlineStr">
        <is>
          <t>FR-INC-001</t>
        </is>
      </c>
      <c r="M359" s="11" t="inlineStr">
        <is>
          <t>Chưa chạy</t>
        </is>
      </c>
      <c r="N359" s="11" t="inlineStr"/>
      <c r="O359" s="11" t="inlineStr"/>
      <c r="P359" s="11" t="inlineStr"/>
    </row>
    <row r="360">
      <c r="A360" s="10" t="n">
        <v>359</v>
      </c>
      <c r="B360" s="10" t="inlineStr">
        <is>
          <t>TC-INC-API-015</t>
        </is>
      </c>
      <c r="C360" s="10" t="inlineStr">
        <is>
          <t>Incident</t>
        </is>
      </c>
      <c r="D360" s="10" t="inlineStr">
        <is>
          <t>API — API</t>
        </is>
      </c>
      <c r="E360" s="10" t="inlineStr">
        <is>
          <t>Sửa ngưỡng toàn cục</t>
        </is>
      </c>
      <c r="F360" s="10" t="inlineStr">
        <is>
          <t>ADMIN</t>
        </is>
      </c>
      <c r="G360" s="10" t="inlineStr">
        <is>
          <t>`PUT /threshold-policies/global`</t>
        </is>
      </c>
      <c r="H360" s="10" t="inlineStr">
        <is>
          <t>disk 85/95</t>
        </is>
      </c>
      <c r="I360" s="10" t="inlineStr">
        <is>
          <t>200; snapshot kế tiếp dùng giá trị mới; audit ghi diff</t>
        </is>
      </c>
      <c r="J360" s="10" t="inlineStr">
        <is>
          <t>Functional</t>
        </is>
      </c>
      <c r="K360" s="10" t="inlineStr">
        <is>
          <t>P1 - Cao</t>
        </is>
      </c>
      <c r="L360" s="10" t="inlineStr">
        <is>
          <t>FR-INC-002</t>
        </is>
      </c>
      <c r="M360" s="11" t="inlineStr">
        <is>
          <t>Chưa chạy</t>
        </is>
      </c>
      <c r="N360" s="11" t="inlineStr"/>
      <c r="O360" s="11" t="inlineStr"/>
      <c r="P360" s="11" t="inlineStr"/>
    </row>
    <row r="361">
      <c r="A361" s="10" t="n">
        <v>360</v>
      </c>
      <c r="B361" s="10" t="inlineStr">
        <is>
          <t>TC-INC-API-016</t>
        </is>
      </c>
      <c r="C361" s="10" t="inlineStr">
        <is>
          <t>Incident</t>
        </is>
      </c>
      <c r="D361" s="10" t="inlineStr">
        <is>
          <t>API — API</t>
        </is>
      </c>
      <c r="E361" s="10" t="inlineStr">
        <is>
          <t>`warning &gt;= critical`</t>
        </is>
      </c>
      <c r="F361" s="10" t="inlineStr">
        <is>
          <t>ADMIN</t>
        </is>
      </c>
      <c r="G361" s="10" t="inlineStr">
        <is>
          <t>`PUT` với 95/90</t>
        </is>
      </c>
      <c r="H361" s="10" t="inlineStr">
        <is>
          <t>—</t>
        </is>
      </c>
      <c r="I361" s="10" t="inlineStr">
        <is>
          <t>400 `SOE-INC-400` “Ngưỡng cảnh báo phải nhỏ hơn ngưỡng nguy cấp”</t>
        </is>
      </c>
      <c r="J361" s="10" t="inlineStr">
        <is>
          <t>Validation</t>
        </is>
      </c>
      <c r="K361" s="10" t="inlineStr">
        <is>
          <t>P1 - Cao</t>
        </is>
      </c>
      <c r="L361" s="10" t="inlineStr">
        <is>
          <t>BR-INC-002</t>
        </is>
      </c>
      <c r="M361" s="11" t="inlineStr">
        <is>
          <t>Chưa chạy</t>
        </is>
      </c>
      <c r="N361" s="11" t="inlineStr"/>
      <c r="O361" s="11" t="inlineStr"/>
      <c r="P361" s="11" t="inlineStr"/>
    </row>
    <row r="362">
      <c r="A362" s="10" t="n">
        <v>361</v>
      </c>
      <c r="B362" s="10" t="inlineStr">
        <is>
          <t>TC-INC-API-017</t>
        </is>
      </c>
      <c r="C362" s="10" t="inlineStr">
        <is>
          <t>Incident</t>
        </is>
      </c>
      <c r="D362" s="10" t="inlineStr">
        <is>
          <t>API — API</t>
        </is>
      </c>
      <c r="E362" s="10" t="inlineStr">
        <is>
          <t>Giá trị ngoài phạm vi</t>
        </is>
      </c>
      <c r="F362" s="10" t="inlineStr">
        <is>
          <t>ADMIN</t>
        </is>
      </c>
      <c r="G362" s="10" t="inlineStr">
        <is>
          <t>`PUT` với 150</t>
        </is>
      </c>
      <c r="H362" s="10" t="inlineStr">
        <is>
          <t>—</t>
        </is>
      </c>
      <c r="I362" s="10" t="inlineStr">
        <is>
          <t>400</t>
        </is>
      </c>
      <c r="J362" s="10" t="inlineStr">
        <is>
          <t>Validation</t>
        </is>
      </c>
      <c r="K362" s="10" t="inlineStr">
        <is>
          <t>P1 - Cao</t>
        </is>
      </c>
      <c r="L362" s="10" t="inlineStr">
        <is>
          <t>SRS §7</t>
        </is>
      </c>
      <c r="M362" s="11" t="inlineStr">
        <is>
          <t>Chưa chạy</t>
        </is>
      </c>
      <c r="N362" s="11" t="inlineStr"/>
      <c r="O362" s="11" t="inlineStr"/>
      <c r="P362" s="11" t="inlineStr"/>
    </row>
    <row r="363">
      <c r="A363" s="10" t="n">
        <v>362</v>
      </c>
      <c r="B363" s="10" t="inlineStr">
        <is>
          <t>TC-INC-API-018</t>
        </is>
      </c>
      <c r="C363" s="10" t="inlineStr">
        <is>
          <t>Incident</t>
        </is>
      </c>
      <c r="D363" s="10" t="inlineStr">
        <is>
          <t>API — API</t>
        </is>
      </c>
      <c r="E363" s="10" t="inlineStr">
        <is>
          <t>`consecutiveBreaches` ngoài phạm vi</t>
        </is>
      </c>
      <c r="F363" s="10" t="inlineStr">
        <is>
          <t>ADMIN</t>
        </is>
      </c>
      <c r="G363" s="10" t="inlineStr">
        <is>
          <t>`PUT` với 0</t>
        </is>
      </c>
      <c r="H363" s="10" t="inlineStr">
        <is>
          <t>—</t>
        </is>
      </c>
      <c r="I363" s="10" t="inlineStr">
        <is>
          <t>400</t>
        </is>
      </c>
      <c r="J363" s="10" t="inlineStr">
        <is>
          <t>Validation</t>
        </is>
      </c>
      <c r="K363" s="10" t="inlineStr">
        <is>
          <t>P2 - Trung bình</t>
        </is>
      </c>
      <c r="L363" s="10" t="inlineStr">
        <is>
          <t>SRS §7</t>
        </is>
      </c>
      <c r="M363" s="11" t="inlineStr">
        <is>
          <t>Chưa chạy</t>
        </is>
      </c>
      <c r="N363" s="11" t="inlineStr"/>
      <c r="O363" s="11" t="inlineStr"/>
      <c r="P363" s="11" t="inlineStr"/>
    </row>
    <row r="364">
      <c r="A364" s="10" t="n">
        <v>363</v>
      </c>
      <c r="B364" s="10" t="inlineStr">
        <is>
          <t>TC-INC-API-019</t>
        </is>
      </c>
      <c r="C364" s="10" t="inlineStr">
        <is>
          <t>Incident</t>
        </is>
      </c>
      <c r="D364" s="10" t="inlineStr">
        <is>
          <t>API — API</t>
        </is>
      </c>
      <c r="E364" s="10" t="inlineStr">
        <is>
          <t>OPERATOR sửa ngưỡng</t>
        </is>
      </c>
      <c r="F364" s="10" t="inlineStr">
        <is>
          <t>OPERATOR</t>
        </is>
      </c>
      <c r="G364" s="10" t="inlineStr">
        <is>
          <t>`PUT /threshold-policies/global`</t>
        </is>
      </c>
      <c r="H364" s="10" t="inlineStr">
        <is>
          <t>—</t>
        </is>
      </c>
      <c r="I364" s="10" t="inlineStr">
        <is>
          <t>403</t>
        </is>
      </c>
      <c r="J364" s="10" t="inlineStr">
        <is>
          <t>Security</t>
        </is>
      </c>
      <c r="K364" s="10" t="inlineStr">
        <is>
          <t>P1 - Cao</t>
        </is>
      </c>
      <c r="L364" s="10" t="inlineStr">
        <is>
          <t>RBAC</t>
        </is>
      </c>
      <c r="M364" s="11" t="inlineStr">
        <is>
          <t>Chưa chạy</t>
        </is>
      </c>
      <c r="N364" s="11" t="inlineStr"/>
      <c r="O364" s="11" t="inlineStr"/>
      <c r="P364" s="11" t="inlineStr"/>
    </row>
    <row r="365">
      <c r="A365" s="10" t="n">
        <v>364</v>
      </c>
      <c r="B365" s="10" t="inlineStr">
        <is>
          <t>TC-INC-API-020</t>
        </is>
      </c>
      <c r="C365" s="10" t="inlineStr">
        <is>
          <t>Incident</t>
        </is>
      </c>
      <c r="D365" s="10" t="inlineStr">
        <is>
          <t>API — API</t>
        </is>
      </c>
      <c r="E365" s="10" t="inlineStr">
        <is>
          <t>Override theo node</t>
        </is>
      </c>
      <c r="F365" s="10" t="inlineStr">
        <is>
          <t>ADMIN</t>
        </is>
      </c>
      <c r="G365" s="10" t="inlineStr">
        <is>
          <t>`PUT /threshold-policies/nodes/{id}`</t>
        </is>
      </c>
      <c r="H365" s="10" t="inlineStr">
        <is>
          <t>—</t>
        </is>
      </c>
      <c r="I365" s="10" t="inlineStr">
        <is>
          <t>200; `GET` hiển thị override; gỡ override quay về giá trị toàn cục</t>
        </is>
      </c>
      <c r="J365" s="10" t="inlineStr">
        <is>
          <t>Functional</t>
        </is>
      </c>
      <c r="K365" s="10" t="inlineStr">
        <is>
          <t>P2 - Trung bình</t>
        </is>
      </c>
      <c r="L365" s="10" t="inlineStr">
        <is>
          <t>FR-INC-003</t>
        </is>
      </c>
      <c r="M365" s="11" t="inlineStr">
        <is>
          <t>Chưa chạy</t>
        </is>
      </c>
      <c r="N365" s="11" t="inlineStr"/>
      <c r="O365" s="11" t="inlineStr"/>
      <c r="P365" s="11" t="inlineStr"/>
    </row>
    <row r="366">
      <c r="A366" s="10" t="n">
        <v>365</v>
      </c>
      <c r="B366" s="10" t="inlineStr">
        <is>
          <t>TC-INC-API-021</t>
        </is>
      </c>
      <c r="C366" s="10" t="inlineStr">
        <is>
          <t>Incident</t>
        </is>
      </c>
      <c r="D366" s="10" t="inlineStr">
        <is>
          <t>API — API</t>
        </is>
      </c>
      <c r="E366" s="10" t="inlineStr">
        <is>
          <t>Hai ADMIN sửa đồng thời</t>
        </is>
      </c>
      <c r="F366" s="10" t="inlineStr">
        <is>
          <t>—</t>
        </is>
      </c>
      <c r="G366" s="10" t="inlineStr">
        <is>
          <t>2 request `PUT` song song</t>
        </is>
      </c>
      <c r="H366" s="10" t="inlineStr">
        <is>
          <t>—</t>
        </is>
      </c>
      <c r="I366" s="10" t="inlineStr">
        <is>
          <t>Một request nhận 409</t>
        </is>
      </c>
      <c r="J366" s="10" t="inlineStr">
        <is>
          <t>Reliability</t>
        </is>
      </c>
      <c r="K366" s="10" t="inlineStr">
        <is>
          <t>P2 - Trung bình</t>
        </is>
      </c>
      <c r="L366" s="10" t="inlineStr">
        <is>
          <t>UC-INC-05/E4</t>
        </is>
      </c>
      <c r="M366" s="11" t="inlineStr">
        <is>
          <t>Chưa chạy</t>
        </is>
      </c>
      <c r="N366" s="11" t="inlineStr"/>
      <c r="O366" s="11" t="inlineStr"/>
      <c r="P366" s="11" t="inlineStr"/>
    </row>
    <row r="367">
      <c r="A367" s="10" t="n">
        <v>366</v>
      </c>
      <c r="B367" s="10" t="inlineStr">
        <is>
          <t>TC-INC-PERF-001</t>
        </is>
      </c>
      <c r="C367" s="10" t="inlineStr">
        <is>
          <t>Incident</t>
        </is>
      </c>
      <c r="D367" s="10" t="inlineStr">
        <is>
          <t>Performance — API</t>
        </is>
      </c>
      <c r="E367" s="10" t="inlineStr">
        <is>
          <t>Danh sách với 100.000 sự cố</t>
        </is>
      </c>
      <c r="F367" s="10" t="inlineStr">
        <is>
          <t>Dữ liệu lớn</t>
        </is>
      </c>
      <c r="G367" s="10" t="inlineStr">
        <is>
          <t>k6 `GET /incidents?status=OPEN`</t>
        </is>
      </c>
      <c r="H367" s="10" t="inlineStr">
        <is>
          <t>—</t>
        </is>
      </c>
      <c r="I367" s="10" t="inlineStr">
        <is>
          <t>p95 ≤ 300 ms</t>
        </is>
      </c>
      <c r="J367" s="10" t="inlineStr">
        <is>
          <t>Performance</t>
        </is>
      </c>
      <c r="K367" s="10" t="inlineStr">
        <is>
          <t>P1 - Cao</t>
        </is>
      </c>
      <c r="L367" s="10" t="inlineStr">
        <is>
          <t>SRS §10</t>
        </is>
      </c>
      <c r="M367" s="11" t="inlineStr">
        <is>
          <t>Chưa chạy</t>
        </is>
      </c>
      <c r="N367" s="11" t="inlineStr"/>
      <c r="O367" s="11" t="inlineStr"/>
      <c r="P367" s="11" t="inlineStr"/>
    </row>
    <row r="368">
      <c r="A368" s="10" t="n">
        <v>367</v>
      </c>
      <c r="B368" s="10" t="inlineStr">
        <is>
          <t>TC-INC-E2E-001</t>
        </is>
      </c>
      <c r="C368" s="10" t="inlineStr">
        <is>
          <t>Incident</t>
        </is>
      </c>
      <c r="D368" s="10" t="inlineStr">
        <is>
          <t>E2E (UI) — Frontend</t>
        </is>
      </c>
      <c r="E368" s="10" t="inlineStr">
        <is>
          <t>Danh sách &amp; bộ lọc</t>
        </is>
      </c>
      <c r="F368" s="10" t="inlineStr">
        <is>
          <t>Có sự cố nhiều loại</t>
        </is>
      </c>
      <c r="G368" s="10" t="inlineStr">
        <is>
          <t>Lọc theo trạng thái/mức độ/node</t>
        </is>
      </c>
      <c r="H368" s="10" t="inlineStr">
        <is>
          <t>—</t>
        </is>
      </c>
      <c r="I368" s="10" t="inlineStr">
        <is>
          <t>Kết quả đúng; bộ lọc lưu trong URL; phân trang server</t>
        </is>
      </c>
      <c r="J368" s="10" t="inlineStr">
        <is>
          <t>Functional</t>
        </is>
      </c>
      <c r="K368" s="10" t="inlineStr">
        <is>
          <t>P1 - Cao</t>
        </is>
      </c>
      <c r="L368" s="10" t="inlineStr">
        <is>
          <t>FR-INC-FE-001</t>
        </is>
      </c>
      <c r="M368" s="11" t="inlineStr">
        <is>
          <t>Chưa chạy</t>
        </is>
      </c>
      <c r="N368" s="11" t="inlineStr"/>
      <c r="O368" s="11" t="inlineStr"/>
      <c r="P368" s="11" t="inlineStr"/>
    </row>
    <row r="369">
      <c r="A369" s="10" t="n">
        <v>368</v>
      </c>
      <c r="B369" s="10" t="inlineStr">
        <is>
          <t>TC-INC-E2E-002</t>
        </is>
      </c>
      <c r="C369" s="10" t="inlineStr">
        <is>
          <t>Incident</t>
        </is>
      </c>
      <c r="D369" s="10" t="inlineStr">
        <is>
          <t>E2E (UI) — Frontend</t>
        </is>
      </c>
      <c r="E369" s="10" t="inlineStr">
        <is>
          <t>Badge có nhãn chữ</t>
        </is>
      </c>
      <c r="F369" s="10" t="inlineStr">
        <is>
          <t>—</t>
        </is>
      </c>
      <c r="G369" s="10" t="inlineStr">
        <is>
          <t>Xem danh sách</t>
        </is>
      </c>
      <c r="H369" s="10" t="inlineStr">
        <is>
          <t>—</t>
        </is>
      </c>
      <c r="I369" s="10" t="inlineStr">
        <is>
          <t>“Nguy cấp”/“Cảnh báo” hiển thị bằng chữ, không chỉ màu; tương phản ≥ 4.5:1</t>
        </is>
      </c>
      <c r="J369" s="10" t="inlineStr">
        <is>
          <t>UI/UX</t>
        </is>
      </c>
      <c r="K369" s="10" t="inlineStr">
        <is>
          <t>P1 - Cao</t>
        </is>
      </c>
      <c r="L369" s="10" t="inlineStr">
        <is>
          <t>FR-INC-FE-002, NFR-USA-004</t>
        </is>
      </c>
      <c r="M369" s="11" t="inlineStr">
        <is>
          <t>Chưa chạy</t>
        </is>
      </c>
      <c r="N369" s="11" t="inlineStr"/>
      <c r="O369" s="11" t="inlineStr"/>
      <c r="P369" s="11" t="inlineStr"/>
    </row>
    <row r="370">
      <c r="A370" s="10" t="n">
        <v>369</v>
      </c>
      <c r="B370" s="10" t="inlineStr">
        <is>
          <t>TC-INC-E2E-003</t>
        </is>
      </c>
      <c r="C370" s="10" t="inlineStr">
        <is>
          <t>Incident</t>
        </is>
      </c>
      <c r="D370" s="10" t="inlineStr">
        <is>
          <t>E2E (UI) — Frontend</t>
        </is>
      </c>
      <c r="E370" s="10" t="inlineStr">
        <is>
          <t>Hiển thị số lần tái diễn</t>
        </is>
      </c>
      <c r="F370" s="10" t="inlineStr">
        <is>
          <t>Sự cố có `occurrenceCount = 4`</t>
        </is>
      </c>
      <c r="G370" s="10" t="inlineStr">
        <is>
          <t>Xem hàng</t>
        </is>
      </c>
      <c r="H370" s="10" t="inlineStr">
        <is>
          <t>—</t>
        </is>
      </c>
      <c r="I370" s="10" t="inlineStr">
        <is>
          <t>“×4” kèm tooltip thời điểm gần nhất</t>
        </is>
      </c>
      <c r="J370" s="10" t="inlineStr">
        <is>
          <t>UI/UX</t>
        </is>
      </c>
      <c r="K370" s="10" t="inlineStr">
        <is>
          <t>P2 - Trung bình</t>
        </is>
      </c>
      <c r="L370" s="10" t="inlineStr">
        <is>
          <t>FR-INC-FE-003</t>
        </is>
      </c>
      <c r="M370" s="11" t="inlineStr">
        <is>
          <t>Chưa chạy</t>
        </is>
      </c>
      <c r="N370" s="11" t="inlineStr"/>
      <c r="O370" s="11" t="inlineStr"/>
      <c r="P370" s="11" t="inlineStr"/>
    </row>
    <row r="371">
      <c r="A371" s="10" t="n">
        <v>370</v>
      </c>
      <c r="B371" s="10" t="inlineStr">
        <is>
          <t>TC-INC-E2E-004</t>
        </is>
      </c>
      <c r="C371" s="10" t="inlineStr">
        <is>
          <t>Incident</t>
        </is>
      </c>
      <c r="D371" s="10" t="inlineStr">
        <is>
          <t>E2E (UI) — Frontend</t>
        </is>
      </c>
      <c r="E371" s="10" t="inlineStr">
        <is>
          <t>Hộp thoại xác nhận xử lý</t>
        </is>
      </c>
      <c r="F371" s="10" t="inlineStr">
        <is>
          <t>OPERATOR</t>
        </is>
      </c>
      <c r="G371" s="10" t="inlineStr">
        <is>
          <t>Bấm “Xác nhận xử lý”</t>
        </is>
      </c>
      <c r="H371" s="10" t="inlineStr">
        <is>
          <t>—</t>
        </is>
      </c>
      <c r="I371" s="10" t="inlineStr">
        <is>
          <t>Hộp thoại nhập ghi chú, validate ≤ 500 ký tự, khóa nút khi đang gửi</t>
        </is>
      </c>
      <c r="J371" s="10" t="inlineStr">
        <is>
          <t>Functional</t>
        </is>
      </c>
      <c r="K371" s="10" t="inlineStr">
        <is>
          <t>P1 - Cao</t>
        </is>
      </c>
      <c r="L371" s="10" t="inlineStr">
        <is>
          <t>FR-INC-FE-004</t>
        </is>
      </c>
      <c r="M371" s="11" t="inlineStr">
        <is>
          <t>Chưa chạy</t>
        </is>
      </c>
      <c r="N371" s="11" t="inlineStr"/>
      <c r="O371" s="11" t="inlineStr"/>
      <c r="P371" s="11" t="inlineStr"/>
    </row>
    <row r="372">
      <c r="A372" s="10" t="n">
        <v>371</v>
      </c>
      <c r="B372" s="10" t="inlineStr">
        <is>
          <t>TC-INC-E2E-005</t>
        </is>
      </c>
      <c r="C372" s="10" t="inlineStr">
        <is>
          <t>Incident</t>
        </is>
      </c>
      <c r="D372" s="10" t="inlineStr">
        <is>
          <t>E2E (UI) — Frontend</t>
        </is>
      </c>
      <c r="E372" s="10" t="inlineStr">
        <is>
          <t>Optimistic update &amp; rollback</t>
        </is>
      </c>
      <c r="F372" s="10" t="inlineStr">
        <is>
          <t>Ép API trả 409</t>
        </is>
      </c>
      <c r="G372" s="10" t="inlineStr">
        <is>
          <t>Bấm Acknowledge</t>
        </is>
      </c>
      <c r="H372" s="10" t="inlineStr">
        <is>
          <t>—</t>
        </is>
      </c>
      <c r="I372" s="10" t="inlineStr">
        <is>
          <t>Trạng thái đổi ngay rồi rollback kèm thông báo “Sự cố đã được … xử lý”</t>
        </is>
      </c>
      <c r="J372" s="10" t="inlineStr">
        <is>
          <t>Reliability</t>
        </is>
      </c>
      <c r="K372" s="10" t="inlineStr">
        <is>
          <t>P1 - Cao</t>
        </is>
      </c>
      <c r="L372" s="10" t="inlineStr">
        <is>
          <t>FR-INC-FE-005</t>
        </is>
      </c>
      <c r="M372" s="11" t="inlineStr">
        <is>
          <t>Chưa chạy</t>
        </is>
      </c>
      <c r="N372" s="11" t="inlineStr"/>
      <c r="O372" s="11" t="inlineStr"/>
      <c r="P372" s="11" t="inlineStr"/>
    </row>
    <row r="373">
      <c r="A373" s="10" t="n">
        <v>372</v>
      </c>
      <c r="B373" s="10" t="inlineStr">
        <is>
          <t>TC-INC-E2E-006</t>
        </is>
      </c>
      <c r="C373" s="10" t="inlineStr">
        <is>
          <t>Incident</t>
        </is>
      </c>
      <c r="D373" s="10" t="inlineStr">
        <is>
          <t>E2E (UI) — Frontend</t>
        </is>
      </c>
      <c r="E373" s="10" t="inlineStr">
        <is>
          <t>Đóng sự cố bắt buộc nhập lý do</t>
        </is>
      </c>
      <c r="F373" s="10" t="inlineStr">
        <is>
          <t>OPERATOR</t>
        </is>
      </c>
      <c r="G373" s="10" t="inlineStr">
        <is>
          <t>Bấm Đóng, để trống</t>
        </is>
      </c>
      <c r="H373" s="10" t="inlineStr">
        <is>
          <t>—</t>
        </is>
      </c>
      <c r="I373" s="10" t="inlineStr">
        <is>
          <t>Nút bị khóa, hiện lỗi dưới ô nhập</t>
        </is>
      </c>
      <c r="J373" s="10" t="inlineStr">
        <is>
          <t>Validation</t>
        </is>
      </c>
      <c r="K373" s="10" t="inlineStr">
        <is>
          <t>P1 - Cao</t>
        </is>
      </c>
      <c r="L373" s="10" t="inlineStr">
        <is>
          <t>FR-INC-FE-004</t>
        </is>
      </c>
      <c r="M373" s="11" t="inlineStr">
        <is>
          <t>Chưa chạy</t>
        </is>
      </c>
      <c r="N373" s="11" t="inlineStr"/>
      <c r="O373" s="11" t="inlineStr"/>
      <c r="P373" s="11" t="inlineStr"/>
    </row>
    <row r="374">
      <c r="A374" s="10" t="n">
        <v>373</v>
      </c>
      <c r="B374" s="10" t="inlineStr">
        <is>
          <t>TC-INC-E2E-007</t>
        </is>
      </c>
      <c r="C374" s="10" t="inlineStr">
        <is>
          <t>Incident</t>
        </is>
      </c>
      <c r="D374" s="10" t="inlineStr">
        <is>
          <t>E2E (UI) — Frontend</t>
        </is>
      </c>
      <c r="E374" s="10" t="inlineStr">
        <is>
          <t>Sự cố mới qua realtime</t>
        </is>
      </c>
      <c r="F374" s="10" t="inlineStr">
        <is>
          <t>Đang mở danh sách</t>
        </is>
      </c>
      <c r="G374" s="10" t="inlineStr">
        <is>
          <t>Kích hoạt sự cố ở backend</t>
        </is>
      </c>
      <c r="H374" s="10" t="inlineStr">
        <is>
          <t>—</t>
        </is>
      </c>
      <c r="I374" s="10" t="inlineStr">
        <is>
          <t>Hàng mới chèn lên đầu (nếu khớp bộ lọc), toast đỏ, bộ đếm Dashboard tăng</t>
        </is>
      </c>
      <c r="J374" s="10" t="inlineStr">
        <is>
          <t>Integration</t>
        </is>
      </c>
      <c r="K374" s="10" t="inlineStr">
        <is>
          <t>P1 - Cao</t>
        </is>
      </c>
      <c r="L374" s="10" t="inlineStr">
        <is>
          <t>FR-INC-FE-006</t>
        </is>
      </c>
      <c r="M374" s="11" t="inlineStr">
        <is>
          <t>Chưa chạy</t>
        </is>
      </c>
      <c r="N374" s="11" t="inlineStr"/>
      <c r="O374" s="11" t="inlineStr"/>
      <c r="P374" s="11" t="inlineStr"/>
    </row>
    <row r="375">
      <c r="A375" s="10" t="n">
        <v>374</v>
      </c>
      <c r="B375" s="10" t="inlineStr">
        <is>
          <t>TC-INC-E2E-008</t>
        </is>
      </c>
      <c r="C375" s="10" t="inlineStr">
        <is>
          <t>Incident</t>
        </is>
      </c>
      <c r="D375" s="10" t="inlineStr">
        <is>
          <t>E2E (UI) — Frontend</t>
        </is>
      </c>
      <c r="E375" s="10" t="inlineStr">
        <is>
          <t>Trang chi tiết</t>
        </is>
      </c>
      <c r="F375" s="10" t="inlineStr">
        <is>
          <t>Sự cố có dòng thời gian</t>
        </is>
      </c>
      <c r="G375" s="10" t="inlineStr">
        <is>
          <t>Mở chi tiết</t>
        </is>
      </c>
      <c r="H375" s="10" t="inlineStr">
        <is>
          <t>—</t>
        </is>
      </c>
      <c r="I375" s="10" t="inlineStr">
        <is>
          <t>Hiển thị đủ các mốc và biểu đồ metric quanh thời điểm phát hiện</t>
        </is>
      </c>
      <c r="J375" s="10" t="inlineStr">
        <is>
          <t>UI/UX</t>
        </is>
      </c>
      <c r="K375" s="10" t="inlineStr">
        <is>
          <t>P2 - Trung bình</t>
        </is>
      </c>
      <c r="L375" s="10" t="inlineStr">
        <is>
          <t>FR-INC-FE-007</t>
        </is>
      </c>
      <c r="M375" s="11" t="inlineStr">
        <is>
          <t>Chưa chạy</t>
        </is>
      </c>
      <c r="N375" s="11" t="inlineStr"/>
      <c r="O375" s="11" t="inlineStr"/>
      <c r="P375" s="11" t="inlineStr"/>
    </row>
    <row r="376">
      <c r="A376" s="10" t="n">
        <v>375</v>
      </c>
      <c r="B376" s="10" t="inlineStr">
        <is>
          <t>TC-INC-E2E-009</t>
        </is>
      </c>
      <c r="C376" s="10" t="inlineStr">
        <is>
          <t>Incident</t>
        </is>
      </c>
      <c r="D376" s="10" t="inlineStr">
        <is>
          <t>E2E (UI) — Frontend</t>
        </is>
      </c>
      <c r="E376" s="10" t="inlineStr">
        <is>
          <t>Cấu hình ngưỡng trên UI</t>
        </is>
      </c>
      <c r="F376" s="10" t="inlineStr">
        <is>
          <t>ADMIN</t>
        </is>
      </c>
      <c r="G376" s="10" t="inlineStr">
        <is>
          <t>Nhập warning 95, critical 90</t>
        </is>
      </c>
      <c r="H376" s="10" t="inlineStr">
        <is>
          <t>—</t>
        </is>
      </c>
      <c r="I376" s="10" t="inlineStr">
        <is>
          <t>Lỗi hiển thị ngay khi rời ô; nút Lưu bị khóa</t>
        </is>
      </c>
      <c r="J376" s="10" t="inlineStr">
        <is>
          <t>Validation</t>
        </is>
      </c>
      <c r="K376" s="10" t="inlineStr">
        <is>
          <t>P1 - Cao</t>
        </is>
      </c>
      <c r="L376" s="10" t="inlineStr">
        <is>
          <t>FR-INC-FE-008</t>
        </is>
      </c>
      <c r="M376" s="11" t="inlineStr">
        <is>
          <t>Chưa chạy</t>
        </is>
      </c>
      <c r="N376" s="11" t="inlineStr"/>
      <c r="O376" s="11" t="inlineStr"/>
      <c r="P376" s="11" t="inlineStr"/>
    </row>
    <row r="377">
      <c r="A377" s="10" t="n">
        <v>376</v>
      </c>
      <c r="B377" s="10" t="inlineStr">
        <is>
          <t>TC-INC-E2E-010</t>
        </is>
      </c>
      <c r="C377" s="10" t="inlineStr">
        <is>
          <t>Incident</t>
        </is>
      </c>
      <c r="D377" s="10" t="inlineStr">
        <is>
          <t>E2E (UI) — Frontend</t>
        </is>
      </c>
      <c r="E377" s="10" t="inlineStr">
        <is>
          <t>VIEWER không thấy nút xử lý</t>
        </is>
      </c>
      <c r="F377" s="10" t="inlineStr">
        <is>
          <t>VIEWER</t>
        </is>
      </c>
      <c r="G377" s="10" t="inlineStr">
        <is>
          <t>Mở danh sách sự cố</t>
        </is>
      </c>
      <c r="H377" s="10" t="inlineStr">
        <is>
          <t>—</t>
        </is>
      </c>
      <c r="I377" s="10" t="inlineStr">
        <is>
          <t>Không có nút Xác nhận/Đóng</t>
        </is>
      </c>
      <c r="J377" s="10" t="inlineStr">
        <is>
          <t>Security</t>
        </is>
      </c>
      <c r="K377" s="10" t="inlineStr">
        <is>
          <t>P1 - Cao</t>
        </is>
      </c>
      <c r="L377" s="10" t="inlineStr">
        <is>
          <t>FR-INC-FE-009</t>
        </is>
      </c>
      <c r="M377" s="11" t="inlineStr">
        <is>
          <t>Chưa chạy</t>
        </is>
      </c>
      <c r="N377" s="11" t="inlineStr"/>
      <c r="O377" s="11" t="inlineStr"/>
      <c r="P377" s="11" t="inlineStr"/>
    </row>
    <row r="378">
      <c r="A378" s="10" t="n">
        <v>377</v>
      </c>
      <c r="B378" s="10" t="inlineStr">
        <is>
          <t>TC-NTF-API-001</t>
        </is>
      </c>
      <c r="C378" s="10" t="inlineStr">
        <is>
          <t>Notification</t>
        </is>
      </c>
      <c r="D378" s="10" t="inlineStr">
        <is>
          <t>API — Quản lý kênh (API)</t>
        </is>
      </c>
      <c r="E378" s="10" t="inlineStr">
        <is>
          <t>Tạo kênh email</t>
        </is>
      </c>
      <c r="F378" s="10" t="inlineStr">
        <is>
          <t>ADMIN</t>
        </is>
      </c>
      <c r="G378" s="10" t="inlineStr">
        <is>
          <t>`POST /alert-channels`</t>
        </is>
      </c>
      <c r="H378" s="10" t="inlineStr">
        <is>
          <t>`{"name":"Email Ops","type":"EMAIL","target":"ops@example.com","minSeverity":"CRITICAL"}`</t>
        </is>
      </c>
      <c r="I378" s="10" t="inlineStr">
        <is>
          <t>201; response hiển thị đích dạng che `o*@example.com`</t>
        </is>
      </c>
      <c r="J378" s="10" t="inlineStr">
        <is>
          <t>Functional</t>
        </is>
      </c>
      <c r="K378" s="10" t="inlineStr">
        <is>
          <t>P1 - Cao</t>
        </is>
      </c>
      <c r="L378" s="10" t="inlineStr">
        <is>
          <t>FR-NTF-001</t>
        </is>
      </c>
      <c r="M378" s="11" t="inlineStr">
        <is>
          <t>Chưa chạy</t>
        </is>
      </c>
      <c r="N378" s="11" t="inlineStr"/>
      <c r="O378" s="11" t="inlineStr"/>
      <c r="P378" s="11" t="inlineStr"/>
    </row>
    <row r="379">
      <c r="A379" s="10" t="n">
        <v>378</v>
      </c>
      <c r="B379" s="10" t="inlineStr">
        <is>
          <t>TC-NTF-API-002</t>
        </is>
      </c>
      <c r="C379" s="10" t="inlineStr">
        <is>
          <t>Notification</t>
        </is>
      </c>
      <c r="D379" s="10" t="inlineStr">
        <is>
          <t>API — Quản lý kênh (API)</t>
        </is>
      </c>
      <c r="E379" s="10" t="inlineStr">
        <is>
          <t>Tạo kênh webhook Slack</t>
        </is>
      </c>
      <c r="F379" s="10" t="inlineStr">
        <is>
          <t>ADMIN</t>
        </is>
      </c>
      <c r="G379" s="10" t="inlineStr">
        <is>
          <t>`POST /alert-channels`</t>
        </is>
      </c>
      <c r="H379" s="10" t="inlineStr">
        <is>
          <t>type WEBHOOK, format SLACK, URL https hợp lệ, secret</t>
        </is>
      </c>
      <c r="I379" s="10" t="inlineStr">
        <is>
          <t>201; secret không xuất hiện trong response</t>
        </is>
      </c>
      <c r="J379" s="10" t="inlineStr">
        <is>
          <t>Security</t>
        </is>
      </c>
      <c r="K379" s="10" t="inlineStr">
        <is>
          <t>P1 - Cao</t>
        </is>
      </c>
      <c r="L379" s="10" t="inlineStr">
        <is>
          <t>FR-NTF-002, 007</t>
        </is>
      </c>
      <c r="M379" s="11" t="inlineStr">
        <is>
          <t>Chưa chạy</t>
        </is>
      </c>
      <c r="N379" s="11" t="inlineStr"/>
      <c r="O379" s="11" t="inlineStr"/>
      <c r="P379" s="11" t="inlineStr"/>
    </row>
    <row r="380">
      <c r="A380" s="10" t="n">
        <v>379</v>
      </c>
      <c r="B380" s="10" t="inlineStr">
        <is>
          <t>TC-NTF-API-003</t>
        </is>
      </c>
      <c r="C380" s="10" t="inlineStr">
        <is>
          <t>Notification</t>
        </is>
      </c>
      <c r="D380" s="10" t="inlineStr">
        <is>
          <t>API — Quản lý kênh (API)</t>
        </is>
      </c>
      <c r="E380" s="10" t="inlineStr">
        <is>
          <t>Đích nhận &amp; secret được mã hóa</t>
        </is>
      </c>
      <c r="F380" s="10" t="inlineStr">
        <is>
          <t>Kênh vừa tạo</t>
        </is>
      </c>
      <c r="G380" s="10" t="inlineStr">
        <is>
          <t>Đọc DB</t>
        </is>
      </c>
      <c r="H380" s="10" t="inlineStr">
        <is>
          <t>—</t>
        </is>
      </c>
      <c r="I380" s="10" t="inlineStr">
        <is>
          <t>`TargetCipher`, `SecretCipher` là nhị phân, không chứa plaintext</t>
        </is>
      </c>
      <c r="J380" s="10" t="inlineStr">
        <is>
          <t>Security</t>
        </is>
      </c>
      <c r="K380" s="10" t="inlineStr">
        <is>
          <t>P1 - Cao</t>
        </is>
      </c>
      <c r="L380" s="10" t="inlineStr">
        <is>
          <t>FR-NTF-007</t>
        </is>
      </c>
      <c r="M380" s="11" t="inlineStr">
        <is>
          <t>Chưa chạy</t>
        </is>
      </c>
      <c r="N380" s="11" t="inlineStr"/>
      <c r="O380" s="11" t="inlineStr"/>
      <c r="P380" s="11" t="inlineStr"/>
    </row>
    <row r="381">
      <c r="A381" s="10" t="n">
        <v>380</v>
      </c>
      <c r="B381" s="10" t="inlineStr">
        <is>
          <t>TC-NTF-API-004</t>
        </is>
      </c>
      <c r="C381" s="10" t="inlineStr">
        <is>
          <t>Notification</t>
        </is>
      </c>
      <c r="D381" s="10" t="inlineStr">
        <is>
          <t>API — Quản lý kênh (API)</t>
        </is>
      </c>
      <c r="E381" s="10" t="inlineStr">
        <is>
          <t>Trùng tên kênh</t>
        </is>
      </c>
      <c r="F381" s="10" t="inlineStr">
        <is>
          <t>Kênh đã tồn tại</t>
        </is>
      </c>
      <c r="G381" s="10" t="inlineStr">
        <is>
          <t>`POST` cùng tên</t>
        </is>
      </c>
      <c r="H381" s="10" t="inlineStr">
        <is>
          <t>—</t>
        </is>
      </c>
      <c r="I381" s="10" t="inlineStr">
        <is>
          <t>409 `SOE-NTF-409`</t>
        </is>
      </c>
      <c r="J381" s="10" t="inlineStr">
        <is>
          <t>Validation</t>
        </is>
      </c>
      <c r="K381" s="10" t="inlineStr">
        <is>
          <t>P2 - Trung bình</t>
        </is>
      </c>
      <c r="L381" s="10" t="inlineStr">
        <is>
          <t>UC-NTF-02/E1</t>
        </is>
      </c>
      <c r="M381" s="11" t="inlineStr">
        <is>
          <t>Chưa chạy</t>
        </is>
      </c>
      <c r="N381" s="11" t="inlineStr"/>
      <c r="O381" s="11" t="inlineStr"/>
      <c r="P381" s="11" t="inlineStr"/>
    </row>
    <row r="382">
      <c r="A382" s="10" t="n">
        <v>381</v>
      </c>
      <c r="B382" s="10" t="inlineStr">
        <is>
          <t>TC-NTF-API-005</t>
        </is>
      </c>
      <c r="C382" s="10" t="inlineStr">
        <is>
          <t>Notification</t>
        </is>
      </c>
      <c r="D382" s="10" t="inlineStr">
        <is>
          <t>API — Quản lý kênh (API)</t>
        </is>
      </c>
      <c r="E382" s="10" t="inlineStr">
        <is>
          <t>Webhook không phải HTTPS</t>
        </is>
      </c>
      <c r="F382" s="10" t="inlineStr">
        <is>
          <t>ADMIN</t>
        </is>
      </c>
      <c r="G382" s="10" t="inlineStr">
        <is>
          <t>`POST` với `http://…`</t>
        </is>
      </c>
      <c r="H382" s="10" t="inlineStr">
        <is>
          <t>—</t>
        </is>
      </c>
      <c r="I382" s="10" t="inlineStr">
        <is>
          <t>400/422</t>
        </is>
      </c>
      <c r="J382" s="10" t="inlineStr">
        <is>
          <t>Security</t>
        </is>
      </c>
      <c r="K382" s="10" t="inlineStr">
        <is>
          <t>P1 - Cao</t>
        </is>
      </c>
      <c r="L382" s="10" t="inlineStr">
        <is>
          <t>BR-NTF-005</t>
        </is>
      </c>
      <c r="M382" s="11" t="inlineStr">
        <is>
          <t>Chưa chạy</t>
        </is>
      </c>
      <c r="N382" s="11" t="inlineStr"/>
      <c r="O382" s="11" t="inlineStr"/>
      <c r="P382" s="11" t="inlineStr"/>
    </row>
    <row r="383">
      <c r="A383" s="10" t="n">
        <v>382</v>
      </c>
      <c r="B383" s="10" t="inlineStr">
        <is>
          <t>TC-NTF-API-006</t>
        </is>
      </c>
      <c r="C383" s="10" t="inlineStr">
        <is>
          <t>Notification</t>
        </is>
      </c>
      <c r="D383" s="10" t="inlineStr">
        <is>
          <t>API — Quản lý kênh (API)</t>
        </is>
      </c>
      <c r="E383" s="10" t="inlineStr">
        <is>
          <t>Webhook trỏ IP nội bộ</t>
        </is>
      </c>
      <c r="F383" s="10" t="inlineStr">
        <is>
          <t>ADMIN</t>
        </is>
      </c>
      <c r="G383" s="10" t="inlineStr">
        <is>
          <t>`POST` với `https://192.168.1.5/hook`</t>
        </is>
      </c>
      <c r="H383" s="10" t="inlineStr">
        <is>
          <t>—</t>
        </is>
      </c>
      <c r="I383" s="10" t="inlineStr">
        <is>
          <t>422 `SOE-NTF-422` (chặn SSRF)</t>
        </is>
      </c>
      <c r="J383" s="10" t="inlineStr">
        <is>
          <t>Security</t>
        </is>
      </c>
      <c r="K383" s="10" t="inlineStr">
        <is>
          <t>P1 - Cao</t>
        </is>
      </c>
      <c r="L383" s="10" t="inlineStr">
        <is>
          <t>BR-NTF-005, OWASP API7</t>
        </is>
      </c>
      <c r="M383" s="11" t="inlineStr">
        <is>
          <t>Chưa chạy</t>
        </is>
      </c>
      <c r="N383" s="11" t="inlineStr"/>
      <c r="O383" s="11" t="inlineStr"/>
      <c r="P383" s="11" t="inlineStr"/>
    </row>
    <row r="384">
      <c r="A384" s="10" t="n">
        <v>383</v>
      </c>
      <c r="B384" s="10" t="inlineStr">
        <is>
          <t>TC-NTF-API-007</t>
        </is>
      </c>
      <c r="C384" s="10" t="inlineStr">
        <is>
          <t>Notification</t>
        </is>
      </c>
      <c r="D384" s="10" t="inlineStr">
        <is>
          <t>API — Quản lý kênh (API)</t>
        </is>
      </c>
      <c r="E384" s="10" t="inlineStr">
        <is>
          <t>Webhook trỏ metadata cloud</t>
        </is>
      </c>
      <c r="F384" s="10" t="inlineStr">
        <is>
          <t>ADMIN</t>
        </is>
      </c>
      <c r="G384" s="10" t="inlineStr">
        <is>
          <t>`https://169.254.169.254/…`</t>
        </is>
      </c>
      <c r="H384" s="10" t="inlineStr">
        <is>
          <t>—</t>
        </is>
      </c>
      <c r="I384" s="10" t="inlineStr">
        <is>
          <t>422</t>
        </is>
      </c>
      <c r="J384" s="10" t="inlineStr">
        <is>
          <t>Security</t>
        </is>
      </c>
      <c r="K384" s="10" t="inlineStr">
        <is>
          <t>P1 - Cao</t>
        </is>
      </c>
      <c r="L384" s="10" t="inlineStr">
        <is>
          <t>OWASP API7</t>
        </is>
      </c>
      <c r="M384" s="11" t="inlineStr">
        <is>
          <t>Chưa chạy</t>
        </is>
      </c>
      <c r="N384" s="11" t="inlineStr"/>
      <c r="O384" s="11" t="inlineStr"/>
      <c r="P384" s="11" t="inlineStr"/>
    </row>
    <row r="385">
      <c r="A385" s="10" t="n">
        <v>384</v>
      </c>
      <c r="B385" s="10" t="inlineStr">
        <is>
          <t>TC-NTF-API-008</t>
        </is>
      </c>
      <c r="C385" s="10" t="inlineStr">
        <is>
          <t>Notification</t>
        </is>
      </c>
      <c r="D385" s="10" t="inlineStr">
        <is>
          <t>API — Quản lý kênh (API)</t>
        </is>
      </c>
      <c r="E385" s="10" t="inlineStr">
        <is>
          <t>Email sai định dạng</t>
        </is>
      </c>
      <c r="F385" s="10" t="inlineStr">
        <is>
          <t>ADMIN</t>
        </is>
      </c>
      <c r="G385" s="10" t="inlineStr">
        <is>
          <t>`POST` target `abc@`</t>
        </is>
      </c>
      <c r="H385" s="10" t="inlineStr">
        <is>
          <t>—</t>
        </is>
      </c>
      <c r="I385" s="10" t="inlineStr">
        <is>
          <t>400 `errors.target`</t>
        </is>
      </c>
      <c r="J385" s="10" t="inlineStr">
        <is>
          <t>Validation</t>
        </is>
      </c>
      <c r="K385" s="10" t="inlineStr">
        <is>
          <t>P1 - Cao</t>
        </is>
      </c>
      <c r="L385" s="10" t="inlineStr">
        <is>
          <t>SRS §6</t>
        </is>
      </c>
      <c r="M385" s="11" t="inlineStr">
        <is>
          <t>Chưa chạy</t>
        </is>
      </c>
      <c r="N385" s="11" t="inlineStr"/>
      <c r="O385" s="11" t="inlineStr"/>
      <c r="P385" s="11" t="inlineStr"/>
    </row>
    <row r="386">
      <c r="A386" s="10" t="n">
        <v>385</v>
      </c>
      <c r="B386" s="10" t="inlineStr">
        <is>
          <t>TC-NTF-API-009</t>
        </is>
      </c>
      <c r="C386" s="10" t="inlineStr">
        <is>
          <t>Notification</t>
        </is>
      </c>
      <c r="D386" s="10" t="inlineStr">
        <is>
          <t>API — Quản lý kênh (API)</t>
        </is>
      </c>
      <c r="E386" s="10" t="inlineStr">
        <is>
          <t>Quá 10 địa chỉ email</t>
        </is>
      </c>
      <c r="F386" s="10" t="inlineStr">
        <is>
          <t>ADMIN</t>
        </is>
      </c>
      <c r="G386" s="10" t="inlineStr">
        <is>
          <t>`POST` với 11 địa chỉ</t>
        </is>
      </c>
      <c r="H386" s="10" t="inlineStr">
        <is>
          <t>—</t>
        </is>
      </c>
      <c r="I386" s="10" t="inlineStr">
        <is>
          <t>400</t>
        </is>
      </c>
      <c r="J386" s="10" t="inlineStr">
        <is>
          <t>Validation</t>
        </is>
      </c>
      <c r="K386" s="10" t="inlineStr">
        <is>
          <t>P3 - Thấp</t>
        </is>
      </c>
      <c r="L386" s="10" t="inlineStr">
        <is>
          <t>SRS §6</t>
        </is>
      </c>
      <c r="M386" s="11" t="inlineStr">
        <is>
          <t>Chưa chạy</t>
        </is>
      </c>
      <c r="N386" s="11" t="inlineStr"/>
      <c r="O386" s="11" t="inlineStr"/>
      <c r="P386" s="11" t="inlineStr"/>
    </row>
    <row r="387">
      <c r="A387" s="10" t="n">
        <v>386</v>
      </c>
      <c r="B387" s="10" t="inlineStr">
        <is>
          <t>TC-NTF-API-010</t>
        </is>
      </c>
      <c r="C387" s="10" t="inlineStr">
        <is>
          <t>Notification</t>
        </is>
      </c>
      <c r="D387" s="10" t="inlineStr">
        <is>
          <t>API — Quản lý kênh (API)</t>
        </is>
      </c>
      <c r="E387" s="10" t="inlineStr">
        <is>
          <t>Sửa kênh giữ nguyên secret</t>
        </is>
      </c>
      <c r="F387" s="10" t="inlineStr">
        <is>
          <t>Kênh có secret</t>
        </is>
      </c>
      <c r="G387" s="10" t="inlineStr">
        <is>
          <t>`PUT` không gửi secret</t>
        </is>
      </c>
      <c r="H387" s="10" t="inlineStr">
        <is>
          <t>—</t>
        </is>
      </c>
      <c r="I387" s="10" t="inlineStr">
        <is>
          <t>200; secret cũ vẫn dùng được khi gửi thử</t>
        </is>
      </c>
      <c r="J387" s="10" t="inlineStr">
        <is>
          <t>Functional</t>
        </is>
      </c>
      <c r="K387" s="10" t="inlineStr">
        <is>
          <t>P1 - Cao</t>
        </is>
      </c>
      <c r="L387" s="10" t="inlineStr">
        <is>
          <t>UC-NTF-02/A1</t>
        </is>
      </c>
      <c r="M387" s="11" t="inlineStr">
        <is>
          <t>Chưa chạy</t>
        </is>
      </c>
      <c r="N387" s="11" t="inlineStr"/>
      <c r="O387" s="11" t="inlineStr"/>
      <c r="P387" s="11" t="inlineStr"/>
    </row>
    <row r="388">
      <c r="A388" s="10" t="n">
        <v>387</v>
      </c>
      <c r="B388" s="10" t="inlineStr">
        <is>
          <t>TC-NTF-API-011</t>
        </is>
      </c>
      <c r="C388" s="10" t="inlineStr">
        <is>
          <t>Notification</t>
        </is>
      </c>
      <c r="D388" s="10" t="inlineStr">
        <is>
          <t>API — Quản lý kênh (API)</t>
        </is>
      </c>
      <c r="E388" s="10" t="inlineStr">
        <is>
          <t>Bật/tắt kênh</t>
        </is>
      </c>
      <c r="F388" s="10" t="inlineStr">
        <is>
          <t>Kênh bật</t>
        </is>
      </c>
      <c r="G388" s="10" t="inlineStr">
        <is>
          <t>`PUT /alert-channels/{id}/status`</t>
        </is>
      </c>
      <c r="H388" s="10" t="inlineStr">
        <is>
          <t>`{isEnabled:false}`</t>
        </is>
      </c>
      <c r="I388" s="10" t="inlineStr">
        <is>
          <t>200; sự cố mới không gửi qua kênh này</t>
        </is>
      </c>
      <c r="J388" s="10" t="inlineStr">
        <is>
          <t>Functional</t>
        </is>
      </c>
      <c r="K388" s="10" t="inlineStr">
        <is>
          <t>P1 - Cao</t>
        </is>
      </c>
      <c r="L388" s="10" t="inlineStr">
        <is>
          <t>FR-NTF-003</t>
        </is>
      </c>
      <c r="M388" s="11" t="inlineStr">
        <is>
          <t>Chưa chạy</t>
        </is>
      </c>
      <c r="N388" s="11" t="inlineStr"/>
      <c r="O388" s="11" t="inlineStr"/>
      <c r="P388" s="11" t="inlineStr"/>
    </row>
    <row r="389">
      <c r="A389" s="10" t="n">
        <v>388</v>
      </c>
      <c r="B389" s="10" t="inlineStr">
        <is>
          <t>TC-NTF-API-012</t>
        </is>
      </c>
      <c r="C389" s="10" t="inlineStr">
        <is>
          <t>Notification</t>
        </is>
      </c>
      <c r="D389" s="10" t="inlineStr">
        <is>
          <t>API — Quản lý kênh (API)</t>
        </is>
      </c>
      <c r="E389" s="10" t="inlineStr">
        <is>
          <t>Xóa kênh</t>
        </is>
      </c>
      <c r="F389" s="10" t="inlineStr">
        <is>
          <t>—</t>
        </is>
      </c>
      <c r="G389" s="10" t="inlineStr">
        <is>
          <t>`DELETE /alert-channels/{id}`</t>
        </is>
      </c>
      <c r="H389" s="10" t="inlineStr">
        <is>
          <t>—</t>
        </is>
      </c>
      <c r="I389" s="10" t="inlineStr">
        <is>
          <t>204; audit `CHANNEL_DELETED`</t>
        </is>
      </c>
      <c r="J389" s="10" t="inlineStr">
        <is>
          <t>Functional</t>
        </is>
      </c>
      <c r="K389" s="10" t="inlineStr">
        <is>
          <t>P2 - Trung bình</t>
        </is>
      </c>
      <c r="L389" s="10" t="inlineStr">
        <is>
          <t>FR-NTF-003</t>
        </is>
      </c>
      <c r="M389" s="11" t="inlineStr">
        <is>
          <t>Chưa chạy</t>
        </is>
      </c>
      <c r="N389" s="11" t="inlineStr"/>
      <c r="O389" s="11" t="inlineStr"/>
      <c r="P389" s="11" t="inlineStr"/>
    </row>
    <row r="390">
      <c r="A390" s="10" t="n">
        <v>389</v>
      </c>
      <c r="B390" s="10" t="inlineStr">
        <is>
          <t>TC-NTF-API-013</t>
        </is>
      </c>
      <c r="C390" s="10" t="inlineStr">
        <is>
          <t>Notification</t>
        </is>
      </c>
      <c r="D390" s="10" t="inlineStr">
        <is>
          <t>API — Quản lý kênh (API)</t>
        </is>
      </c>
      <c r="E390" s="10" t="inlineStr">
        <is>
          <t>OPERATOR quản lý kênh</t>
        </is>
      </c>
      <c r="F390" s="10" t="inlineStr">
        <is>
          <t>OPERATOR</t>
        </is>
      </c>
      <c r="G390" s="10" t="inlineStr">
        <is>
          <t>`GET /alert-channels`</t>
        </is>
      </c>
      <c r="H390" s="10" t="inlineStr">
        <is>
          <t>—</t>
        </is>
      </c>
      <c r="I390" s="10" t="inlineStr">
        <is>
          <t>403</t>
        </is>
      </c>
      <c r="J390" s="10" t="inlineStr">
        <is>
          <t>Security</t>
        </is>
      </c>
      <c r="K390" s="10" t="inlineStr">
        <is>
          <t>P1 - Cao</t>
        </is>
      </c>
      <c r="L390" s="10" t="inlineStr">
        <is>
          <t>RBAC</t>
        </is>
      </c>
      <c r="M390" s="11" t="inlineStr">
        <is>
          <t>Chưa chạy</t>
        </is>
      </c>
      <c r="N390" s="11" t="inlineStr"/>
      <c r="O390" s="11" t="inlineStr"/>
      <c r="P390" s="11" t="inlineStr"/>
    </row>
    <row r="391">
      <c r="A391" s="10" t="n">
        <v>390</v>
      </c>
      <c r="B391" s="10" t="inlineStr">
        <is>
          <t>TC-NTF-API-014</t>
        </is>
      </c>
      <c r="C391" s="10" t="inlineStr">
        <is>
          <t>Notification</t>
        </is>
      </c>
      <c r="D391" s="10" t="inlineStr">
        <is>
          <t>API — Quản lý kênh (API)</t>
        </is>
      </c>
      <c r="E391" s="10" t="inlineStr">
        <is>
          <t>Bộ lọc node/tag</t>
        </is>
      </c>
      <c r="F391" s="10" t="inlineStr">
        <is>
          <t>Kênh có `nodeFilter` env=prod</t>
        </is>
      </c>
      <c r="G391" s="10" t="inlineStr">
        <is>
          <t>Tạo/sửa kênh</t>
        </is>
      </c>
      <c r="H391" s="10" t="inlineStr">
        <is>
          <t>—</t>
        </is>
      </c>
      <c r="I391" s="10" t="inlineStr">
        <is>
          <t>200; chỉ sự cố node prod được gửi (kiểm tra ở TC-INT-007)</t>
        </is>
      </c>
      <c r="J391" s="10" t="inlineStr">
        <is>
          <t>Functional</t>
        </is>
      </c>
      <c r="K391" s="10" t="inlineStr">
        <is>
          <t>P2 - Trung bình</t>
        </is>
      </c>
      <c r="L391" s="10" t="inlineStr">
        <is>
          <t>FR-NTF-005</t>
        </is>
      </c>
      <c r="M391" s="11" t="inlineStr">
        <is>
          <t>Chưa chạy</t>
        </is>
      </c>
      <c r="N391" s="11" t="inlineStr"/>
      <c r="O391" s="11" t="inlineStr"/>
      <c r="P391" s="11" t="inlineStr"/>
    </row>
    <row r="392">
      <c r="A392" s="10" t="n">
        <v>391</v>
      </c>
      <c r="B392" s="10" t="inlineStr">
        <is>
          <t>TC-NTF-API-015</t>
        </is>
      </c>
      <c r="C392" s="10" t="inlineStr">
        <is>
          <t>Notification</t>
        </is>
      </c>
      <c r="D392" s="10" t="inlineStr">
        <is>
          <t>API — Quản lý kênh (API)</t>
        </is>
      </c>
      <c r="E392" s="10" t="inlineStr">
        <is>
          <t>Gửi thử email thành công</t>
        </is>
      </c>
      <c r="F392" s="10" t="inlineStr">
        <is>
          <t>SMTP MailHog</t>
        </is>
      </c>
      <c r="G392" s="10" t="inlineStr">
        <is>
          <t>`POST /alert-channels/{id}/test`</t>
        </is>
      </c>
      <c r="H392" s="10" t="inlineStr">
        <is>
          <t>—</t>
        </is>
      </c>
      <c r="I392" s="10" t="inlineStr">
        <is>
          <t>200 `{success:true, latencyMs}`; MailHog nhận email tiếng Việt</t>
        </is>
      </c>
      <c r="J392" s="10" t="inlineStr">
        <is>
          <t>Functional</t>
        </is>
      </c>
      <c r="K392" s="10" t="inlineStr">
        <is>
          <t>P1 - Cao</t>
        </is>
      </c>
      <c r="L392" s="10" t="inlineStr">
        <is>
          <t>FR-NTF-004</t>
        </is>
      </c>
      <c r="M392" s="11" t="inlineStr">
        <is>
          <t>Chưa chạy</t>
        </is>
      </c>
      <c r="N392" s="11" t="inlineStr"/>
      <c r="O392" s="11" t="inlineStr"/>
      <c r="P392" s="11" t="inlineStr"/>
    </row>
    <row r="393">
      <c r="A393" s="10" t="n">
        <v>392</v>
      </c>
      <c r="B393" s="10" t="inlineStr">
        <is>
          <t>TC-NTF-API-016</t>
        </is>
      </c>
      <c r="C393" s="10" t="inlineStr">
        <is>
          <t>Notification</t>
        </is>
      </c>
      <c r="D393" s="10" t="inlineStr">
        <is>
          <t>API — Quản lý kênh (API)</t>
        </is>
      </c>
      <c r="E393" s="10" t="inlineStr">
        <is>
          <t>Gửi thử webhook</t>
        </is>
      </c>
      <c r="F393" s="10" t="inlineStr">
        <is>
          <t>Endpoint test chạy</t>
        </is>
      </c>
      <c r="G393" s="10" t="inlineStr">
        <is>
          <t>như trên</t>
        </is>
      </c>
      <c r="H393" s="10" t="inlineStr">
        <is>
          <t>—</t>
        </is>
      </c>
      <c r="I393" s="10" t="inlineStr">
        <is>
          <t>200; endpoint nhận POST có chữ ký hợp lệ</t>
        </is>
      </c>
      <c r="J393" s="10" t="inlineStr">
        <is>
          <t>Functional</t>
        </is>
      </c>
      <c r="K393" s="10" t="inlineStr">
        <is>
          <t>P1 - Cao</t>
        </is>
      </c>
      <c r="L393" s="10" t="inlineStr">
        <is>
          <t>FR-NTF-004</t>
        </is>
      </c>
      <c r="M393" s="11" t="inlineStr">
        <is>
          <t>Chưa chạy</t>
        </is>
      </c>
      <c r="N393" s="11" t="inlineStr"/>
      <c r="O393" s="11" t="inlineStr"/>
      <c r="P393" s="11" t="inlineStr"/>
    </row>
    <row r="394">
      <c r="A394" s="10" t="n">
        <v>393</v>
      </c>
      <c r="B394" s="10" t="inlineStr">
        <is>
          <t>TC-NTF-API-017</t>
        </is>
      </c>
      <c r="C394" s="10" t="inlineStr">
        <is>
          <t>Notification</t>
        </is>
      </c>
      <c r="D394" s="10" t="inlineStr">
        <is>
          <t>API — Quản lý kênh (API)</t>
        </is>
      </c>
      <c r="E394" s="10" t="inlineStr">
        <is>
          <t>Gửi thử khi SMTP sai</t>
        </is>
      </c>
      <c r="F394" s="10" t="inlineStr">
        <is>
          <t>Cấu hình SMTP sai mật khẩu</t>
        </is>
      </c>
      <c r="G394" s="10" t="inlineStr">
        <is>
          <t>như trên</t>
        </is>
      </c>
      <c r="H394" s="10" t="inlineStr">
        <is>
          <t>—</t>
        </is>
      </c>
      <c r="I394" s="10" t="inlineStr">
        <is>
          <t>503 `SOE-NTF-503` với lý do; không lộ mật khẩu</t>
        </is>
      </c>
      <c r="J394" s="10" t="inlineStr">
        <is>
          <t>Security</t>
        </is>
      </c>
      <c r="K394" s="10" t="inlineStr">
        <is>
          <t>P1 - Cao</t>
        </is>
      </c>
      <c r="L394" s="10" t="inlineStr">
        <is>
          <t>UC-NTF-03/E1</t>
        </is>
      </c>
      <c r="M394" s="11" t="inlineStr">
        <is>
          <t>Chưa chạy</t>
        </is>
      </c>
      <c r="N394" s="11" t="inlineStr"/>
      <c r="O394" s="11" t="inlineStr"/>
      <c r="P394" s="11" t="inlineStr"/>
    </row>
    <row r="395">
      <c r="A395" s="10" t="n">
        <v>394</v>
      </c>
      <c r="B395" s="10" t="inlineStr">
        <is>
          <t>TC-NTF-API-018</t>
        </is>
      </c>
      <c r="C395" s="10" t="inlineStr">
        <is>
          <t>Notification</t>
        </is>
      </c>
      <c r="D395" s="10" t="inlineStr">
        <is>
          <t>API — Quản lý kênh (API)</t>
        </is>
      </c>
      <c r="E395" s="10" t="inlineStr">
        <is>
          <t>Rate limit gửi thử</t>
        </is>
      </c>
      <c r="F395" s="10" t="inlineStr">
        <is>
          <t>ADMIN</t>
        </is>
      </c>
      <c r="G395" s="10" t="inlineStr">
        <is>
          <t>Gọi 6 lần/phút</t>
        </is>
      </c>
      <c r="H395" s="10" t="inlineStr">
        <is>
          <t>—</t>
        </is>
      </c>
      <c r="I395" s="10" t="inlineStr">
        <is>
          <t>Lần 6 trả 429</t>
        </is>
      </c>
      <c r="J395" s="10" t="inlineStr">
        <is>
          <t>Security</t>
        </is>
      </c>
      <c r="K395" s="10" t="inlineStr">
        <is>
          <t>P1 - Cao</t>
        </is>
      </c>
      <c r="L395" s="10" t="inlineStr">
        <is>
          <t>OWASP API6</t>
        </is>
      </c>
      <c r="M395" s="11" t="inlineStr">
        <is>
          <t>Chưa chạy</t>
        </is>
      </c>
      <c r="N395" s="11" t="inlineStr"/>
      <c r="O395" s="11" t="inlineStr"/>
      <c r="P395" s="11" t="inlineStr"/>
    </row>
    <row r="396">
      <c r="A396" s="10" t="n">
        <v>395</v>
      </c>
      <c r="B396" s="10" t="inlineStr">
        <is>
          <t>TC-NTF-API-019</t>
        </is>
      </c>
      <c r="C396" s="10" t="inlineStr">
        <is>
          <t>Notification</t>
        </is>
      </c>
      <c r="D396" s="10" t="inlineStr">
        <is>
          <t>API — Quản lý kênh (API)</t>
        </is>
      </c>
      <c r="E396" s="10" t="inlineStr">
        <is>
          <t>Lịch sử gửi</t>
        </is>
      </c>
      <c r="F396" s="10" t="inlineStr">
        <is>
          <t>Có bản ghi</t>
        </is>
      </c>
      <c r="G396" s="10" t="inlineStr">
        <is>
          <t>`GET /alert-deliveries?status=FAILED`</t>
        </is>
      </c>
      <c r="H396" s="10" t="inlineStr">
        <is>
          <t>—</t>
        </is>
      </c>
      <c r="I396" s="10" t="inlineStr">
        <is>
          <t>200; hiển thị lý do lỗi rút gọn, không chứa secret</t>
        </is>
      </c>
      <c r="J396" s="10" t="inlineStr">
        <is>
          <t>Functional</t>
        </is>
      </c>
      <c r="K396" s="10" t="inlineStr">
        <is>
          <t>P2 - Trung bình</t>
        </is>
      </c>
      <c r="L396" s="10" t="inlineStr">
        <is>
          <t>FR-NTF-018</t>
        </is>
      </c>
      <c r="M396" s="11" t="inlineStr">
        <is>
          <t>Chưa chạy</t>
        </is>
      </c>
      <c r="N396" s="11" t="inlineStr"/>
      <c r="O396" s="11" t="inlineStr"/>
      <c r="P396" s="11" t="inlineStr"/>
    </row>
    <row r="397">
      <c r="A397" s="10" t="n">
        <v>396</v>
      </c>
      <c r="B397" s="10" t="inlineStr">
        <is>
          <t>TC-NTF-API-020</t>
        </is>
      </c>
      <c r="C397" s="10" t="inlineStr">
        <is>
          <t>Notification</t>
        </is>
      </c>
      <c r="D397" s="10" t="inlineStr">
        <is>
          <t>API — Quản lý kênh (API)</t>
        </is>
      </c>
      <c r="E397" s="10" t="inlineStr">
        <is>
          <t>Gửi lại bản ghi thất bại</t>
        </is>
      </c>
      <c r="F397" s="10" t="inlineStr">
        <is>
          <t>Có bản ghi FAILED</t>
        </is>
      </c>
      <c r="G397" s="10" t="inlineStr">
        <is>
          <t>`POST /alert-deliveries/{id}/resend`</t>
        </is>
      </c>
      <c r="H397" s="10" t="inlineStr">
        <is>
          <t>—</t>
        </is>
      </c>
      <c r="I397" s="10" t="inlineStr">
        <is>
          <t>200/202; tạo bản ghi gửi mới; audit `ALERT_RESENT`</t>
        </is>
      </c>
      <c r="J397" s="10" t="inlineStr">
        <is>
          <t>Functional</t>
        </is>
      </c>
      <c r="K397" s="10" t="inlineStr">
        <is>
          <t>P3 - Thấp</t>
        </is>
      </c>
      <c r="L397" s="10" t="inlineStr">
        <is>
          <t>FR-NTF-018</t>
        </is>
      </c>
      <c r="M397" s="11" t="inlineStr">
        <is>
          <t>Chưa chạy</t>
        </is>
      </c>
      <c r="N397" s="11" t="inlineStr"/>
      <c r="O397" s="11" t="inlineStr"/>
      <c r="P397" s="11" t="inlineStr"/>
    </row>
    <row r="398">
      <c r="A398" s="10" t="n">
        <v>397</v>
      </c>
      <c r="B398" s="10" t="inlineStr">
        <is>
          <t>TC-NTF-API-021</t>
        </is>
      </c>
      <c r="C398" s="10" t="inlineStr">
        <is>
          <t>Notification</t>
        </is>
      </c>
      <c r="D398" s="10" t="inlineStr">
        <is>
          <t>API — Quản lý kênh (API)</t>
        </is>
      </c>
      <c r="E398" s="10" t="inlineStr">
        <is>
          <t>Cấu hình SMTP</t>
        </is>
      </c>
      <c r="F398" s="10" t="inlineStr">
        <is>
          <t>ADMIN</t>
        </is>
      </c>
      <c r="G398" s="10" t="inlineStr">
        <is>
          <t>`PUT /system-config/smtp`</t>
        </is>
      </c>
      <c r="H398" s="10" t="inlineStr">
        <is>
          <t>host/port/tls/user/pass</t>
        </is>
      </c>
      <c r="I398" s="10" t="inlineStr">
        <is>
          <t>200; `GET` trả `hasPassword: true` nhưng không trả mật khẩu</t>
        </is>
      </c>
      <c r="J398" s="10" t="inlineStr">
        <is>
          <t>Security</t>
        </is>
      </c>
      <c r="K398" s="10" t="inlineStr">
        <is>
          <t>P1 - Cao</t>
        </is>
      </c>
      <c r="L398" s="10" t="inlineStr">
        <is>
          <t>FR-NTF-006</t>
        </is>
      </c>
      <c r="M398" s="11" t="inlineStr">
        <is>
          <t>Chưa chạy</t>
        </is>
      </c>
      <c r="N398" s="11" t="inlineStr"/>
      <c r="O398" s="11" t="inlineStr"/>
      <c r="P398" s="11" t="inlineStr"/>
    </row>
    <row r="399">
      <c r="A399" s="10" t="n">
        <v>398</v>
      </c>
      <c r="B399" s="10" t="inlineStr">
        <is>
          <t>TC-NTF-API-022</t>
        </is>
      </c>
      <c r="C399" s="10" t="inlineStr">
        <is>
          <t>Notification</t>
        </is>
      </c>
      <c r="D399" s="10" t="inlineStr">
        <is>
          <t>API — Quản lý kênh (API)</t>
        </is>
      </c>
      <c r="E399" s="10" t="inlineStr">
        <is>
          <t>Cấu hình báo cáo hằng ngày</t>
        </is>
      </c>
      <c r="F399" s="10" t="inlineStr">
        <is>
          <t>ADMIN</t>
        </is>
      </c>
      <c r="G399" s="10" t="inlineStr">
        <is>
          <t>`PUT /system-config/daily-report`</t>
        </is>
      </c>
      <c r="H399" s="10" t="inlineStr">
        <is>
          <t>`{enabled:true,sendAtLocal:"08:00"}`</t>
        </is>
      </c>
      <c r="I399" s="10" t="inlineStr">
        <is>
          <t>200; giờ sai định dạng (`25:00`) → 400</t>
        </is>
      </c>
      <c r="J399" s="10" t="inlineStr">
        <is>
          <t>Validation</t>
        </is>
      </c>
      <c r="K399" s="10" t="inlineStr">
        <is>
          <t>P2 - Trung bình</t>
        </is>
      </c>
      <c r="L399" s="10" t="inlineStr">
        <is>
          <t>FR-NTF-017</t>
        </is>
      </c>
      <c r="M399" s="11" t="inlineStr">
        <is>
          <t>Chưa chạy</t>
        </is>
      </c>
      <c r="N399" s="11" t="inlineStr"/>
      <c r="O399" s="11" t="inlineStr"/>
      <c r="P399" s="11" t="inlineStr"/>
    </row>
    <row r="400">
      <c r="A400" s="10" t="n">
        <v>399</v>
      </c>
      <c r="B400" s="10" t="inlineStr">
        <is>
          <t>TC-NTF-INT-001</t>
        </is>
      </c>
      <c r="C400" s="10" t="inlineStr">
        <is>
          <t>Notification</t>
        </is>
      </c>
      <c r="D400" s="10" t="inlineStr">
        <is>
          <t>Integration — Gửi cảnh báo (Integration)</t>
        </is>
      </c>
      <c r="E400" s="10" t="inlineStr">
        <is>
          <t>Gửi email khi sự cố CRITICAL</t>
        </is>
      </c>
      <c r="F400" s="10" t="inlineStr">
        <is>
          <t>Kênh email bật, minSeverity WARNING</t>
        </is>
      </c>
      <c r="G400" s="10" t="inlineStr">
        <is>
          <t>Publish `IncidentOpenedV1` CRITICAL</t>
        </is>
      </c>
      <c r="H400" s="10" t="inlineStr">
        <is>
          <t>—</t>
        </is>
      </c>
      <c r="I400" s="10" t="inlineStr">
        <is>
          <t>MailHog nhận email; tiêu đề `[SOE] NGUY CẤP — …`; có bảng CPU/RAM/Disk màu đúng; `DeliveryLogs = SENT`</t>
        </is>
      </c>
      <c r="J400" s="10" t="inlineStr">
        <is>
          <t>Functional</t>
        </is>
      </c>
      <c r="K400" s="10" t="inlineStr">
        <is>
          <t>P1 - Cao</t>
        </is>
      </c>
      <c r="L400" s="10" t="inlineStr">
        <is>
          <t>FR-NTF-010, 012</t>
        </is>
      </c>
      <c r="M400" s="11" t="inlineStr">
        <is>
          <t>Chưa chạy</t>
        </is>
      </c>
      <c r="N400" s="11" t="inlineStr"/>
      <c r="O400" s="11" t="inlineStr"/>
      <c r="P400" s="11" t="inlineStr"/>
    </row>
    <row r="401">
      <c r="A401" s="10" t="n">
        <v>400</v>
      </c>
      <c r="B401" s="10" t="inlineStr">
        <is>
          <t>TC-NTF-INT-002</t>
        </is>
      </c>
      <c r="C401" s="10" t="inlineStr">
        <is>
          <t>Notification</t>
        </is>
      </c>
      <c r="D401" s="10" t="inlineStr">
        <is>
          <t>Integration — Gửi cảnh báo (Integration)</t>
        </is>
      </c>
      <c r="E401" s="10" t="inlineStr">
        <is>
          <t>Không gửi khi dưới minSeverity</t>
        </is>
      </c>
      <c r="F401" s="10" t="inlineStr">
        <is>
          <t>Kênh minSeverity CRITICAL</t>
        </is>
      </c>
      <c r="G401" s="10" t="inlineStr">
        <is>
          <t>Publish sự cố WARNING</t>
        </is>
      </c>
      <c r="H401" s="10" t="inlineStr">
        <is>
          <t>—</t>
        </is>
      </c>
      <c r="I401" s="10" t="inlineStr">
        <is>
          <t>Không gửi; ghi log Information</t>
        </is>
      </c>
      <c r="J401" s="10" t="inlineStr">
        <is>
          <t>Functional</t>
        </is>
      </c>
      <c r="K401" s="10" t="inlineStr">
        <is>
          <t>P1 - Cao</t>
        </is>
      </c>
      <c r="L401" s="10" t="inlineStr">
        <is>
          <t>BR-NTF-001</t>
        </is>
      </c>
      <c r="M401" s="11" t="inlineStr">
        <is>
          <t>Chưa chạy</t>
        </is>
      </c>
      <c r="N401" s="11" t="inlineStr"/>
      <c r="O401" s="11" t="inlineStr"/>
      <c r="P401" s="11" t="inlineStr"/>
    </row>
    <row r="402">
      <c r="A402" s="10" t="n">
        <v>401</v>
      </c>
      <c r="B402" s="10" t="inlineStr">
        <is>
          <t>TC-NTF-INT-003</t>
        </is>
      </c>
      <c r="C402" s="10" t="inlineStr">
        <is>
          <t>Notification</t>
        </is>
      </c>
      <c r="D402" s="10" t="inlineStr">
        <is>
          <t>Integration — Gửi cảnh báo (Integration)</t>
        </is>
      </c>
      <c r="E402" s="10" t="inlineStr">
        <is>
          <t>Webhook Generic có chữ ký</t>
        </is>
      </c>
      <c r="F402" s="10" t="inlineStr">
        <is>
          <t>Kênh webhook + secret</t>
        </is>
      </c>
      <c r="G402" s="10" t="inlineStr">
        <is>
          <t>Publish sự cố</t>
        </is>
      </c>
      <c r="H402" s="10" t="inlineStr">
        <is>
          <t>—</t>
        </is>
      </c>
      <c r="I402" s="10" t="inlineStr">
        <is>
          <t>POST có `X-SOE-Signature` = HMAC-SHA256(body, secret) tính đúng, `X-SOE-Timestamp` trong 5 phút</t>
        </is>
      </c>
      <c r="J402" s="10" t="inlineStr">
        <is>
          <t>Security</t>
        </is>
      </c>
      <c r="K402" s="10" t="inlineStr">
        <is>
          <t>P1 - Cao</t>
        </is>
      </c>
      <c r="L402" s="10" t="inlineStr">
        <is>
          <t>FR-NTF-013</t>
        </is>
      </c>
      <c r="M402" s="11" t="inlineStr">
        <is>
          <t>Chưa chạy</t>
        </is>
      </c>
      <c r="N402" s="11" t="inlineStr"/>
      <c r="O402" s="11" t="inlineStr"/>
      <c r="P402" s="11" t="inlineStr"/>
    </row>
    <row r="403">
      <c r="A403" s="10" t="n">
        <v>402</v>
      </c>
      <c r="B403" s="10" t="inlineStr">
        <is>
          <t>TC-NTF-INT-004</t>
        </is>
      </c>
      <c r="C403" s="10" t="inlineStr">
        <is>
          <t>Notification</t>
        </is>
      </c>
      <c r="D403" s="10" t="inlineStr">
        <is>
          <t>Integration — Gửi cảnh báo (Integration)</t>
        </is>
      </c>
      <c r="E403" s="10" t="inlineStr">
        <is>
          <t>Định dạng Slack</t>
        </is>
      </c>
      <c r="F403" s="10" t="inlineStr">
        <is>
          <t>Kênh format SLACK</t>
        </is>
      </c>
      <c r="G403" s="10" t="inlineStr">
        <is>
          <t>Publish sự cố</t>
        </is>
      </c>
      <c r="H403" s="10" t="inlineStr">
        <is>
          <t>—</t>
        </is>
      </c>
      <c r="I403" s="10" t="inlineStr">
        <is>
          <t>Payload đúng cấu trúc Slack (`text`/`blocks`)</t>
        </is>
      </c>
      <c r="J403" s="10" t="inlineStr">
        <is>
          <t>Functional</t>
        </is>
      </c>
      <c r="K403" s="10" t="inlineStr">
        <is>
          <t>P2 - Trung bình</t>
        </is>
      </c>
      <c r="L403" s="10" t="inlineStr">
        <is>
          <t>FR-NTF-013</t>
        </is>
      </c>
      <c r="M403" s="11" t="inlineStr">
        <is>
          <t>Chưa chạy</t>
        </is>
      </c>
      <c r="N403" s="11" t="inlineStr"/>
      <c r="O403" s="11" t="inlineStr"/>
      <c r="P403" s="11" t="inlineStr"/>
    </row>
    <row r="404">
      <c r="A404" s="10" t="n">
        <v>403</v>
      </c>
      <c r="B404" s="10" t="inlineStr">
        <is>
          <t>TC-NTF-INT-005</t>
        </is>
      </c>
      <c r="C404" s="10" t="inlineStr">
        <is>
          <t>Notification</t>
        </is>
      </c>
      <c r="D404" s="10" t="inlineStr">
        <is>
          <t>Integration — Gửi cảnh báo (Integration)</t>
        </is>
      </c>
      <c r="E404" s="10" t="inlineStr">
        <is>
          <t>Định dạng Teams/Discord</t>
        </is>
      </c>
      <c r="F404" s="10" t="inlineStr">
        <is>
          <t>Kênh tương ứng</t>
        </is>
      </c>
      <c r="G404" s="10" t="inlineStr">
        <is>
          <t>Publish sự cố</t>
        </is>
      </c>
      <c r="H404" s="10" t="inlineStr">
        <is>
          <t>—</t>
        </is>
      </c>
      <c r="I404" s="10" t="inlineStr">
        <is>
          <t>Payload đúng chuẩn từng nền tảng</t>
        </is>
      </c>
      <c r="J404" s="10" t="inlineStr">
        <is>
          <t>Functional</t>
        </is>
      </c>
      <c r="K404" s="10" t="inlineStr">
        <is>
          <t>P3 - Thấp</t>
        </is>
      </c>
      <c r="L404" s="10" t="inlineStr">
        <is>
          <t>FR-NTF-013</t>
        </is>
      </c>
      <c r="M404" s="11" t="inlineStr">
        <is>
          <t>Chưa chạy</t>
        </is>
      </c>
      <c r="N404" s="11" t="inlineStr"/>
      <c r="O404" s="11" t="inlineStr"/>
      <c r="P404" s="11" t="inlineStr"/>
    </row>
    <row r="405">
      <c r="A405" s="10" t="n">
        <v>404</v>
      </c>
      <c r="B405" s="10" t="inlineStr">
        <is>
          <t>TC-NTF-INT-006</t>
        </is>
      </c>
      <c r="C405" s="10" t="inlineStr">
        <is>
          <t>Notification</t>
        </is>
      </c>
      <c r="D405" s="10" t="inlineStr">
        <is>
          <t>Integration — Gửi cảnh báo (Integration)</t>
        </is>
      </c>
      <c r="E405" s="10" t="inlineStr">
        <is>
          <t>Throttle trong 30 phút</t>
        </is>
      </c>
      <c r="F405" s="10" t="inlineStr">
        <is>
          <t>Vừa gửi cảnh báo sự cố X</t>
        </is>
      </c>
      <c r="G405" s="10" t="inlineStr">
        <is>
          <t>Publish lại sự kiện cùng loại cho X</t>
        </is>
      </c>
      <c r="H405" s="10" t="inlineStr">
        <is>
          <t>—</t>
        </is>
      </c>
      <c r="I405" s="10" t="inlineStr">
        <is>
          <t>Không gửi; `DeliveryLogs = SKIPPED_THROTTLED`</t>
        </is>
      </c>
      <c r="J405" s="10" t="inlineStr">
        <is>
          <t>Functional</t>
        </is>
      </c>
      <c r="K405" s="10" t="inlineStr">
        <is>
          <t>P1 - Cao</t>
        </is>
      </c>
      <c r="L405" s="10" t="inlineStr">
        <is>
          <t>FR-NTF-014</t>
        </is>
      </c>
      <c r="M405" s="11" t="inlineStr">
        <is>
          <t>Chưa chạy</t>
        </is>
      </c>
      <c r="N405" s="11" t="inlineStr"/>
      <c r="O405" s="11" t="inlineStr"/>
      <c r="P405" s="11" t="inlineStr"/>
    </row>
    <row r="406">
      <c r="A406" s="10" t="n">
        <v>405</v>
      </c>
      <c r="B406" s="10" t="inlineStr">
        <is>
          <t>TC-NTF-INT-007</t>
        </is>
      </c>
      <c r="C406" s="10" t="inlineStr">
        <is>
          <t>Notification</t>
        </is>
      </c>
      <c r="D406" s="10" t="inlineStr">
        <is>
          <t>Integration — Gửi cảnh báo (Integration)</t>
        </is>
      </c>
      <c r="E406" s="10" t="inlineStr">
        <is>
          <t>Nâng cấp bỏ qua throttle</t>
        </is>
      </c>
      <c r="F406" s="10" t="inlineStr">
        <is>
          <t>Đang throttle</t>
        </is>
      </c>
      <c r="G406" s="10" t="inlineStr">
        <is>
          <t>Publish `IncidentEscalatedV1`</t>
        </is>
      </c>
      <c r="H406" s="10" t="inlineStr">
        <is>
          <t>—</t>
        </is>
      </c>
      <c r="I406" s="10" t="inlineStr">
        <is>
          <t>Vẫn gửi ngay</t>
        </is>
      </c>
      <c r="J406" s="10" t="inlineStr">
        <is>
          <t>Functional</t>
        </is>
      </c>
      <c r="K406" s="10" t="inlineStr">
        <is>
          <t>P1 - Cao</t>
        </is>
      </c>
      <c r="L406" s="10" t="inlineStr">
        <is>
          <t>UC-NTF-01/A1</t>
        </is>
      </c>
      <c r="M406" s="11" t="inlineStr">
        <is>
          <t>Chưa chạy</t>
        </is>
      </c>
      <c r="N406" s="11" t="inlineStr"/>
      <c r="O406" s="11" t="inlineStr"/>
      <c r="P406" s="11" t="inlineStr"/>
    </row>
    <row r="407">
      <c r="A407" s="10" t="n">
        <v>406</v>
      </c>
      <c r="B407" s="10" t="inlineStr">
        <is>
          <t>TC-NTF-INT-008</t>
        </is>
      </c>
      <c r="C407" s="10" t="inlineStr">
        <is>
          <t>Notification</t>
        </is>
      </c>
      <c r="D407" s="10" t="inlineStr">
        <is>
          <t>Integration — Gửi cảnh báo (Integration)</t>
        </is>
      </c>
      <c r="E407" s="10" t="inlineStr">
        <is>
          <t>Bộ lọc node/tag</t>
        </is>
      </c>
      <c r="F407" s="10" t="inlineStr">
        <is>
          <t>Kênh lọc env=prod</t>
        </is>
      </c>
      <c r="G407" s="10" t="inlineStr">
        <is>
          <t>Publish sự cố node dev</t>
        </is>
      </c>
      <c r="H407" s="10" t="inlineStr">
        <is>
          <t>—</t>
        </is>
      </c>
      <c r="I407" s="10" t="inlineStr">
        <is>
          <t>Không gửi qua kênh đó</t>
        </is>
      </c>
      <c r="J407" s="10" t="inlineStr">
        <is>
          <t>Functional</t>
        </is>
      </c>
      <c r="K407" s="10" t="inlineStr">
        <is>
          <t>P2 - Trung bình</t>
        </is>
      </c>
      <c r="L407" s="10" t="inlineStr">
        <is>
          <t>FR-NTF-005</t>
        </is>
      </c>
      <c r="M407" s="11" t="inlineStr">
        <is>
          <t>Chưa chạy</t>
        </is>
      </c>
      <c r="N407" s="11" t="inlineStr"/>
      <c r="O407" s="11" t="inlineStr"/>
      <c r="P407" s="11" t="inlineStr"/>
    </row>
    <row r="408">
      <c r="A408" s="10" t="n">
        <v>407</v>
      </c>
      <c r="B408" s="10" t="inlineStr">
        <is>
          <t>TC-NTF-INT-009</t>
        </is>
      </c>
      <c r="C408" s="10" t="inlineStr">
        <is>
          <t>Notification</t>
        </is>
      </c>
      <c r="D408" s="10" t="inlineStr">
        <is>
          <t>Integration — Gửi cảnh báo (Integration)</t>
        </is>
      </c>
      <c r="E408" s="10" t="inlineStr">
        <is>
          <t>Retry khi webhook 500</t>
        </is>
      </c>
      <c r="F408" s="10" t="inlineStr">
        <is>
          <t>Endpoint trả 500 hai lần rồi 200</t>
        </is>
      </c>
      <c r="G408" s="10" t="inlineStr">
        <is>
          <t>Publish sự cố</t>
        </is>
      </c>
      <c r="H408" s="10" t="inlineStr">
        <is>
          <t>—</t>
        </is>
      </c>
      <c r="I408" s="10" t="inlineStr">
        <is>
          <t>Gửi lại theo backoff, cuối cùng `SENT`, `attempts = 3`</t>
        </is>
      </c>
      <c r="J408" s="10" t="inlineStr">
        <is>
          <t>Reliability</t>
        </is>
      </c>
      <c r="K408" s="10" t="inlineStr">
        <is>
          <t>P1 - Cao</t>
        </is>
      </c>
      <c r="L408" s="10" t="inlineStr">
        <is>
          <t>FR-NTF-015</t>
        </is>
      </c>
      <c r="M408" s="11" t="inlineStr">
        <is>
          <t>Chưa chạy</t>
        </is>
      </c>
      <c r="N408" s="11" t="inlineStr"/>
      <c r="O408" s="11" t="inlineStr"/>
      <c r="P408" s="11" t="inlineStr"/>
    </row>
    <row r="409">
      <c r="A409" s="10" t="n">
        <v>408</v>
      </c>
      <c r="B409" s="10" t="inlineStr">
        <is>
          <t>TC-NTF-INT-010</t>
        </is>
      </c>
      <c r="C409" s="10" t="inlineStr">
        <is>
          <t>Notification</t>
        </is>
      </c>
      <c r="D409" s="10" t="inlineStr">
        <is>
          <t>Integration — Gửi cảnh báo (Integration)</t>
        </is>
      </c>
      <c r="E409" s="10" t="inlineStr">
        <is>
          <t>Thất bại hẳn → DLQ</t>
        </is>
      </c>
      <c r="F409" s="10" t="inlineStr">
        <is>
          <t>Endpoint luôn 500</t>
        </is>
      </c>
      <c r="G409" s="10" t="inlineStr">
        <is>
          <t>Publish sự cố</t>
        </is>
      </c>
      <c r="H409" s="10" t="inlineStr">
        <is>
          <t>—</t>
        </is>
      </c>
      <c r="I409" s="10" t="inlineStr">
        <is>
          <t>`DeliveryLogs = FAILED`, `AlertFailedV1` phát ra, message vào `_error`</t>
        </is>
      </c>
      <c r="J409" s="10" t="inlineStr">
        <is>
          <t>Reliability</t>
        </is>
      </c>
      <c r="K409" s="10" t="inlineStr">
        <is>
          <t>P1 - Cao</t>
        </is>
      </c>
      <c r="L409" s="10" t="inlineStr">
        <is>
          <t>FR-NTF-015</t>
        </is>
      </c>
      <c r="M409" s="11" t="inlineStr">
        <is>
          <t>Chưa chạy</t>
        </is>
      </c>
      <c r="N409" s="11" t="inlineStr"/>
      <c r="O409" s="11" t="inlineStr"/>
      <c r="P409" s="11" t="inlineStr"/>
    </row>
    <row r="410">
      <c r="A410" s="10" t="n">
        <v>409</v>
      </c>
      <c r="B410" s="10" t="inlineStr">
        <is>
          <t>TC-NTF-INT-011</t>
        </is>
      </c>
      <c r="C410" s="10" t="inlineStr">
        <is>
          <t>Notification</t>
        </is>
      </c>
      <c r="D410" s="10" t="inlineStr">
        <is>
          <t>Integration — Gửi cảnh báo (Integration)</t>
        </is>
      </c>
      <c r="E410" s="10" t="inlineStr">
        <is>
          <t>Idempotent theo deliveryId</t>
        </is>
      </c>
      <c r="F410" s="10" t="inlineStr">
        <is>
          <t>—</t>
        </is>
      </c>
      <c r="G410" s="10" t="inlineStr">
        <is>
          <t>Publish cùng `IncidentOpenedV1` 3 lần</t>
        </is>
      </c>
      <c r="H410" s="10" t="inlineStr">
        <is>
          <t>—</t>
        </is>
      </c>
      <c r="I410" s="10" t="inlineStr">
        <is>
          <t>Chỉ gửi 1 email/webhook</t>
        </is>
      </c>
      <c r="J410" s="10" t="inlineStr">
        <is>
          <t>Reliability</t>
        </is>
      </c>
      <c r="K410" s="10" t="inlineStr">
        <is>
          <t>P1 - Cao</t>
        </is>
      </c>
      <c r="L410" s="10" t="inlineStr">
        <is>
          <t>BR-NTF-003</t>
        </is>
      </c>
      <c r="M410" s="11" t="inlineStr">
        <is>
          <t>Chưa chạy</t>
        </is>
      </c>
      <c r="N410" s="11" t="inlineStr"/>
      <c r="O410" s="11" t="inlineStr"/>
      <c r="P410" s="11" t="inlineStr"/>
    </row>
    <row r="411">
      <c r="A411" s="10" t="n">
        <v>410</v>
      </c>
      <c r="B411" s="10" t="inlineStr">
        <is>
          <t>TC-NTF-INT-012</t>
        </is>
      </c>
      <c r="C411" s="10" t="inlineStr">
        <is>
          <t>Notification</t>
        </is>
      </c>
      <c r="D411" s="10" t="inlineStr">
        <is>
          <t>Integration — Gửi cảnh báo (Integration)</t>
        </is>
      </c>
      <c r="E411" s="10" t="inlineStr">
        <is>
          <t>Kênh tự tắt sau 10 lỗi</t>
        </is>
      </c>
      <c r="F411" s="10" t="inlineStr">
        <is>
          <t>Endpoint luôn lỗi</t>
        </is>
      </c>
      <c r="G411" s="10" t="inlineStr">
        <is>
          <t>Publish 10 sự cố</t>
        </is>
      </c>
      <c r="H411" s="10" t="inlineStr">
        <is>
          <t>—</t>
        </is>
      </c>
      <c r="I411" s="10" t="inlineStr">
        <is>
          <t>Kênh `isEnabled=false`, phát `ChannelAutoDisabledV1`, ADMIN được thông báo</t>
        </is>
      </c>
      <c r="J411" s="10" t="inlineStr">
        <is>
          <t>Reliability</t>
        </is>
      </c>
      <c r="K411" s="10" t="inlineStr">
        <is>
          <t>P2 - Trung bình</t>
        </is>
      </c>
      <c r="L411" s="10" t="inlineStr">
        <is>
          <t>FR-NTF-019</t>
        </is>
      </c>
      <c r="M411" s="11" t="inlineStr">
        <is>
          <t>Chưa chạy</t>
        </is>
      </c>
      <c r="N411" s="11" t="inlineStr"/>
      <c r="O411" s="11" t="inlineStr"/>
      <c r="P411" s="11" t="inlineStr"/>
    </row>
    <row r="412">
      <c r="A412" s="10" t="n">
        <v>411</v>
      </c>
      <c r="B412" s="10" t="inlineStr">
        <is>
          <t>TC-NTF-INT-013</t>
        </is>
      </c>
      <c r="C412" s="10" t="inlineStr">
        <is>
          <t>Notification</t>
        </is>
      </c>
      <c r="D412" s="10" t="inlineStr">
        <is>
          <t>Integration — Gửi cảnh báo (Integration)</t>
        </is>
      </c>
      <c r="E412" s="10" t="inlineStr">
        <is>
          <t>Thông báo khi đóng sự cố</t>
        </is>
      </c>
      <c r="F412" s="10" t="inlineStr">
        <is>
          <t>Kênh bật `notifyOnResolve`</t>
        </is>
      </c>
      <c r="G412" s="10" t="inlineStr">
        <is>
          <t>Publish `IncidentResolvedV1`</t>
        </is>
      </c>
      <c r="H412" s="10" t="inlineStr">
        <is>
          <t>—</t>
        </is>
      </c>
      <c r="I412" s="10" t="inlineStr">
        <is>
          <t>Gửi thông báo “đã đóng”; kênh không bật thì không gửi</t>
        </is>
      </c>
      <c r="J412" s="10" t="inlineStr">
        <is>
          <t>Functional</t>
        </is>
      </c>
      <c r="K412" s="10" t="inlineStr">
        <is>
          <t>P2 - Trung bình</t>
        </is>
      </c>
      <c r="L412" s="10" t="inlineStr">
        <is>
          <t>FR-NTF-011</t>
        </is>
      </c>
      <c r="M412" s="11" t="inlineStr">
        <is>
          <t>Chưa chạy</t>
        </is>
      </c>
      <c r="N412" s="11" t="inlineStr"/>
      <c r="O412" s="11" t="inlineStr"/>
      <c r="P412" s="11" t="inlineStr"/>
    </row>
    <row r="413">
      <c r="A413" s="10" t="n">
        <v>412</v>
      </c>
      <c r="B413" s="10" t="inlineStr">
        <is>
          <t>TC-NTF-INT-014</t>
        </is>
      </c>
      <c r="C413" s="10" t="inlineStr">
        <is>
          <t>Notification</t>
        </is>
      </c>
      <c r="D413" s="10" t="inlineStr">
        <is>
          <t>Integration — Gửi cảnh báo (Integration)</t>
        </is>
      </c>
      <c r="E413" s="10" t="inlineStr">
        <is>
          <t>Nội dung không chứa dữ liệu nhạy cảm</t>
        </is>
      </c>
      <c r="F413" s="10" t="inlineStr">
        <is>
          <t>—</t>
        </is>
      </c>
      <c r="G413" s="10" t="inlineStr">
        <is>
          <t>Kiểm tra email + webhook body</t>
        </is>
      </c>
      <c r="H413" s="10" t="inlineStr">
        <is>
          <t>—</t>
        </is>
      </c>
      <c r="I413" s="10" t="inlineStr">
        <is>
          <t>Không có mật khẩu, private key, host key, token, URL nội bộ</t>
        </is>
      </c>
      <c r="J413" s="10" t="inlineStr">
        <is>
          <t>Security</t>
        </is>
      </c>
      <c r="K413" s="10" t="inlineStr">
        <is>
          <t>P1 - Cao</t>
        </is>
      </c>
      <c r="L413" s="10" t="inlineStr">
        <is>
          <t>BR-NTF-004</t>
        </is>
      </c>
      <c r="M413" s="11" t="inlineStr">
        <is>
          <t>Chưa chạy</t>
        </is>
      </c>
      <c r="N413" s="11" t="inlineStr"/>
      <c r="O413" s="11" t="inlineStr"/>
      <c r="P413" s="11" t="inlineStr"/>
    </row>
    <row r="414">
      <c r="A414" s="10" t="n">
        <v>413</v>
      </c>
      <c r="B414" s="10" t="inlineStr">
        <is>
          <t>TC-NTF-INT-015</t>
        </is>
      </c>
      <c r="C414" s="10" t="inlineStr">
        <is>
          <t>Notification</t>
        </is>
      </c>
      <c r="D414" s="10" t="inlineStr">
        <is>
          <t>Integration — Gửi cảnh báo (Integration)</t>
        </is>
      </c>
      <c r="E414" s="10" t="inlineStr">
        <is>
          <t>Digest khi bão sự cố</t>
        </is>
      </c>
      <c r="F414" s="10" t="inlineStr">
        <is>
          <t>25 sự cố trong 5 phút</t>
        </is>
      </c>
      <c r="G414" s="10" t="inlineStr">
        <is>
          <t>Publish liên tiếp</t>
        </is>
      </c>
      <c r="H414" s="10" t="inlineStr">
        <is>
          <t>—</t>
        </is>
      </c>
      <c r="I414" s="10" t="inlineStr">
        <is>
          <t>Gửi một email tổng hợp thay vì 25 email rời</t>
        </is>
      </c>
      <c r="J414" s="10" t="inlineStr">
        <is>
          <t>Reliability</t>
        </is>
      </c>
      <c r="K414" s="10" t="inlineStr">
        <is>
          <t>P3 - Thấp</t>
        </is>
      </c>
      <c r="L414" s="10" t="inlineStr">
        <is>
          <t>FR-NTF-020</t>
        </is>
      </c>
      <c r="M414" s="11" t="inlineStr">
        <is>
          <t>Chưa chạy</t>
        </is>
      </c>
      <c r="N414" s="11" t="inlineStr"/>
      <c r="O414" s="11" t="inlineStr"/>
      <c r="P414" s="11" t="inlineStr"/>
    </row>
    <row r="415">
      <c r="A415" s="10" t="n">
        <v>414</v>
      </c>
      <c r="B415" s="10" t="inlineStr">
        <is>
          <t>TC-NTF-INT-016</t>
        </is>
      </c>
      <c r="C415" s="10" t="inlineStr">
        <is>
          <t>Notification</t>
        </is>
      </c>
      <c r="D415" s="10" t="inlineStr">
        <is>
          <t>Integration — Gửi cảnh báo (Integration)</t>
        </is>
      </c>
      <c r="E415" s="10" t="inlineStr">
        <is>
          <t>Báo cáo hằng ngày</t>
        </is>
      </c>
      <c r="F415" s="10" t="inlineStr">
        <is>
          <t>Đến giờ cấu hình</t>
        </is>
      </c>
      <c r="G415" s="10" t="inlineStr">
        <is>
          <t>Chạy job</t>
        </is>
      </c>
      <c r="H415" s="10" t="inlineStr">
        <is>
          <t>—</t>
        </is>
      </c>
      <c r="I415" s="10" t="inlineStr">
        <is>
          <t>Email tổng hợp có số node, sự cố mở, MTTR; phát `DailyReportSentV1`; chỉ một instance gửi</t>
        </is>
      </c>
      <c r="J415" s="10" t="inlineStr">
        <is>
          <t>Functional</t>
        </is>
      </c>
      <c r="K415" s="10" t="inlineStr">
        <is>
          <t>P1 - Cao</t>
        </is>
      </c>
      <c r="L415" s="10" t="inlineStr">
        <is>
          <t>FR-NTF-017</t>
        </is>
      </c>
      <c r="M415" s="11" t="inlineStr">
        <is>
          <t>Chưa chạy</t>
        </is>
      </c>
      <c r="N415" s="11" t="inlineStr"/>
      <c r="O415" s="11" t="inlineStr"/>
      <c r="P415" s="11" t="inlineStr"/>
    </row>
    <row r="416">
      <c r="A416" s="10" t="n">
        <v>415</v>
      </c>
      <c r="B416" s="10" t="inlineStr">
        <is>
          <t>TC-NTF-INT-017</t>
        </is>
      </c>
      <c r="C416" s="10" t="inlineStr">
        <is>
          <t>Notification</t>
        </is>
      </c>
      <c r="D416" s="10" t="inlineStr">
        <is>
          <t>Integration — Gửi cảnh báo (Integration)</t>
        </is>
      </c>
      <c r="E416" s="10" t="inlineStr">
        <is>
          <t>Báo cáo khi không có sự cố</t>
        </is>
      </c>
      <c r="F416" s="10" t="inlineStr">
        <is>
          <t>Không có sự cố mở</t>
        </is>
      </c>
      <c r="G416" s="10" t="inlineStr">
        <is>
          <t>Chạy job</t>
        </is>
      </c>
      <c r="H416" s="10" t="inlineStr">
        <is>
          <t>—</t>
        </is>
      </c>
      <c r="I416" s="10" t="inlineStr">
        <is>
          <t>Vẫn gửi với thông điệp “Hệ thống hoạt động bình thường”</t>
        </is>
      </c>
      <c r="J416" s="10" t="inlineStr">
        <is>
          <t>Functional</t>
        </is>
      </c>
      <c r="K416" s="10" t="inlineStr">
        <is>
          <t>P2 - Trung bình</t>
        </is>
      </c>
      <c r="L416" s="10" t="inlineStr">
        <is>
          <t>UC-NTF-04/A1</t>
        </is>
      </c>
      <c r="M416" s="11" t="inlineStr">
        <is>
          <t>Chưa chạy</t>
        </is>
      </c>
      <c r="N416" s="11" t="inlineStr"/>
      <c r="O416" s="11" t="inlineStr"/>
      <c r="P416" s="11" t="inlineStr"/>
    </row>
    <row r="417">
      <c r="A417" s="10" t="n">
        <v>416</v>
      </c>
      <c r="B417" s="10" t="inlineStr">
        <is>
          <t>TC-NTF-INT-018</t>
        </is>
      </c>
      <c r="C417" s="10" t="inlineStr">
        <is>
          <t>Notification</t>
        </is>
      </c>
      <c r="D417" s="10" t="inlineStr">
        <is>
          <t>Integration — Gửi cảnh báo (Integration)</t>
        </is>
      </c>
      <c r="E417" s="10" t="inlineStr">
        <is>
          <t>Độ trễ cảnh báo</t>
        </is>
      </c>
      <c r="F417" s="10" t="inlineStr">
        <is>
          <t>—</t>
        </is>
      </c>
      <c r="G417" s="10" t="inlineStr">
        <is>
          <t>Đo từ `collectedAt` tới lúc email tới MailHog</t>
        </is>
      </c>
      <c r="H417" s="10" t="inlineStr">
        <is>
          <t>—</t>
        </is>
      </c>
      <c r="I417" s="10" t="inlineStr">
        <is>
          <t>p95 ≤ 60 giây</t>
        </is>
      </c>
      <c r="J417" s="10" t="inlineStr">
        <is>
          <t>Performance</t>
        </is>
      </c>
      <c r="K417" s="10" t="inlineStr">
        <is>
          <t>P1 - Cao</t>
        </is>
      </c>
      <c r="L417" s="10" t="inlineStr">
        <is>
          <t>NFR-PERF-010</t>
        </is>
      </c>
      <c r="M417" s="11" t="inlineStr">
        <is>
          <t>Chưa chạy</t>
        </is>
      </c>
      <c r="N417" s="11" t="inlineStr"/>
      <c r="O417" s="11" t="inlineStr"/>
      <c r="P417" s="11" t="inlineStr"/>
    </row>
    <row r="418">
      <c r="A418" s="10" t="n">
        <v>417</v>
      </c>
      <c r="B418" s="10" t="inlineStr">
        <is>
          <t>TC-NTF-SEC-001</t>
        </is>
      </c>
      <c r="C418" s="10" t="inlineStr">
        <is>
          <t>Notification</t>
        </is>
      </c>
      <c r="D418" s="10" t="inlineStr">
        <is>
          <t>Security — Gửi cảnh báo (Integration)</t>
        </is>
      </c>
      <c r="E418" s="10" t="inlineStr">
        <is>
          <t>STARTTLS bắt buộc</t>
        </is>
      </c>
      <c r="F418" s="10" t="inlineStr">
        <is>
          <t>SMTP không hỗ trợ TLS</t>
        </is>
      </c>
      <c r="G418" s="10" t="inlineStr">
        <is>
          <t>Gửi email</t>
        </is>
      </c>
      <c r="H418" s="10" t="inlineStr">
        <is>
          <t>—</t>
        </is>
      </c>
      <c r="I418" s="10" t="inlineStr">
        <is>
          <t>Từ chối gửi, ghi lỗi rõ ràng; không gửi ở dạng không mã hóa</t>
        </is>
      </c>
      <c r="J418" s="10" t="inlineStr">
        <is>
          <t>Security</t>
        </is>
      </c>
      <c r="K418" s="10" t="inlineStr">
        <is>
          <t>P1 - Cao</t>
        </is>
      </c>
      <c r="L418" s="10" t="inlineStr">
        <is>
          <t>SRS §9</t>
        </is>
      </c>
      <c r="M418" s="11" t="inlineStr">
        <is>
          <t>Chưa chạy</t>
        </is>
      </c>
      <c r="N418" s="11" t="inlineStr"/>
      <c r="O418" s="11" t="inlineStr"/>
      <c r="P418" s="11" t="inlineStr"/>
    </row>
    <row r="419">
      <c r="A419" s="10" t="n">
        <v>418</v>
      </c>
      <c r="B419" s="10" t="inlineStr">
        <is>
          <t>TC-NTF-SEC-002</t>
        </is>
      </c>
      <c r="C419" s="10" t="inlineStr">
        <is>
          <t>Notification</t>
        </is>
      </c>
      <c r="D419" s="10" t="inlineStr">
        <is>
          <t>Security — Gửi cảnh báo (Integration)</t>
        </is>
      </c>
      <c r="E419" s="10" t="inlineStr">
        <is>
          <t>Không theo redirect webhook</t>
        </is>
      </c>
      <c r="F419" s="10" t="inlineStr">
        <is>
          <t>Endpoint trả 302 tới IP nội bộ</t>
        </is>
      </c>
      <c r="G419" s="10" t="inlineStr">
        <is>
          <t>Publish sự cố</t>
        </is>
      </c>
      <c r="H419" s="10" t="inlineStr">
        <is>
          <t>—</t>
        </is>
      </c>
      <c r="I419" s="10" t="inlineStr">
        <is>
          <t>Không đi theo redirect; ghi `FAILED`</t>
        </is>
      </c>
      <c r="J419" s="10" t="inlineStr">
        <is>
          <t>Security</t>
        </is>
      </c>
      <c r="K419" s="10" t="inlineStr">
        <is>
          <t>P1 - Cao</t>
        </is>
      </c>
      <c r="L419" s="10" t="inlineStr">
        <is>
          <t>BR-NTF-005</t>
        </is>
      </c>
      <c r="M419" s="11" t="inlineStr">
        <is>
          <t>Chưa chạy</t>
        </is>
      </c>
      <c r="N419" s="11" t="inlineStr"/>
      <c r="O419" s="11" t="inlineStr"/>
      <c r="P419" s="11" t="inlineStr"/>
    </row>
    <row r="420">
      <c r="A420" s="10" t="n">
        <v>419</v>
      </c>
      <c r="B420" s="10" t="inlineStr">
        <is>
          <t>TC-NTF-SEC-003</t>
        </is>
      </c>
      <c r="C420" s="10" t="inlineStr">
        <is>
          <t>Notification</t>
        </is>
      </c>
      <c r="D420" s="10" t="inlineStr">
        <is>
          <t>Security — Gửi cảnh báo (Integration)</t>
        </is>
      </c>
      <c r="E420" s="10" t="inlineStr">
        <is>
          <t>Giới hạn phản hồi webhook</t>
        </is>
      </c>
      <c r="F420" s="10" t="inlineStr">
        <is>
          <t>Endpoint trả 10 MB</t>
        </is>
      </c>
      <c r="G420" s="10" t="inlineStr">
        <is>
          <t>Publish sự cố</t>
        </is>
      </c>
      <c r="H420" s="10" t="inlineStr">
        <is>
          <t>—</t>
        </is>
      </c>
      <c r="I420" s="10" t="inlineStr">
        <is>
          <t>Chỉ đọc ≤ 8 KB, không treo, không parse nội dung</t>
        </is>
      </c>
      <c r="J420" s="10" t="inlineStr">
        <is>
          <t>Security</t>
        </is>
      </c>
      <c r="K420" s="10" t="inlineStr">
        <is>
          <t>P2 - Trung bình</t>
        </is>
      </c>
      <c r="L420" s="10" t="inlineStr">
        <is>
          <t>OWASP API10</t>
        </is>
      </c>
      <c r="M420" s="11" t="inlineStr">
        <is>
          <t>Chưa chạy</t>
        </is>
      </c>
      <c r="N420" s="11" t="inlineStr"/>
      <c r="O420" s="11" t="inlineStr"/>
      <c r="P420" s="11" t="inlineStr"/>
    </row>
    <row r="421">
      <c r="A421" s="10" t="n">
        <v>420</v>
      </c>
      <c r="B421" s="10" t="inlineStr">
        <is>
          <t>TC-NTF-SEC-004</t>
        </is>
      </c>
      <c r="C421" s="10" t="inlineStr">
        <is>
          <t>Notification</t>
        </is>
      </c>
      <c r="D421" s="10" t="inlineStr">
        <is>
          <t>Security — Gửi cảnh báo (Integration)</t>
        </is>
      </c>
      <c r="E421" s="10" t="inlineStr">
        <is>
          <t>Timeout webhook</t>
        </is>
      </c>
      <c r="F421" s="10" t="inlineStr">
        <is>
          <t>Endpoint treo 30 giây</t>
        </is>
      </c>
      <c r="G421" s="10" t="inlineStr">
        <is>
          <t>Publish sự cố</t>
        </is>
      </c>
      <c r="H421" s="10" t="inlineStr">
        <is>
          <t>—</t>
        </is>
      </c>
      <c r="I421" s="10" t="inlineStr">
        <is>
          <t>Hủy sau 5 giây, chuyển sang retry</t>
        </is>
      </c>
      <c r="J421" s="10" t="inlineStr">
        <is>
          <t>Reliability</t>
        </is>
      </c>
      <c r="K421" s="10" t="inlineStr">
        <is>
          <t>P1 - Cao</t>
        </is>
      </c>
      <c r="L421" s="10" t="inlineStr">
        <is>
          <t>BR-NTF-005</t>
        </is>
      </c>
      <c r="M421" s="11" t="inlineStr">
        <is>
          <t>Chưa chạy</t>
        </is>
      </c>
      <c r="N421" s="11" t="inlineStr"/>
      <c r="O421" s="11" t="inlineStr"/>
      <c r="P421" s="11" t="inlineStr"/>
    </row>
    <row r="422">
      <c r="A422" s="10" t="n">
        <v>421</v>
      </c>
      <c r="B422" s="10" t="inlineStr">
        <is>
          <t>TC-NTF-SEC-005</t>
        </is>
      </c>
      <c r="C422" s="10" t="inlineStr">
        <is>
          <t>Notification</t>
        </is>
      </c>
      <c r="D422" s="10" t="inlineStr">
        <is>
          <t>Security — Gửi cảnh báo (Integration)</t>
        </is>
      </c>
      <c r="E422" s="10" t="inlineStr">
        <is>
          <t>DNS rebinding</t>
        </is>
      </c>
      <c r="F422" s="10" t="inlineStr">
        <is>
          <t>Hostname công khai phân giải về IP nội bộ</t>
        </is>
      </c>
      <c r="G422" s="10" t="inlineStr">
        <is>
          <t>Publish sự cố</t>
        </is>
      </c>
      <c r="H422" s="10" t="inlineStr">
        <is>
          <t>—</t>
        </is>
      </c>
      <c r="I422" s="10" t="inlineStr">
        <is>
          <t>Kiểm tra IP sau khi resolve ⇒ chặn</t>
        </is>
      </c>
      <c r="J422" s="10" t="inlineStr">
        <is>
          <t>Security</t>
        </is>
      </c>
      <c r="K422" s="10" t="inlineStr">
        <is>
          <t>P2 - Trung bình</t>
        </is>
      </c>
      <c r="L422" s="10" t="inlineStr">
        <is>
          <t>OWASP API7</t>
        </is>
      </c>
      <c r="M422" s="11" t="inlineStr">
        <is>
          <t>Chưa chạy</t>
        </is>
      </c>
      <c r="N422" s="11" t="inlineStr"/>
      <c r="O422" s="11" t="inlineStr"/>
      <c r="P422" s="11" t="inlineStr"/>
    </row>
    <row r="423">
      <c r="A423" s="10" t="n">
        <v>422</v>
      </c>
      <c r="B423" s="10" t="inlineStr">
        <is>
          <t>TC-NTF-E2E-001</t>
        </is>
      </c>
      <c r="C423" s="10" t="inlineStr">
        <is>
          <t>Notification</t>
        </is>
      </c>
      <c r="D423" s="10" t="inlineStr">
        <is>
          <t>E2E (UI) — Frontend</t>
        </is>
      </c>
      <c r="E423" s="10" t="inlineStr">
        <is>
          <t>Danh sách kênh</t>
        </is>
      </c>
      <c r="F423" s="10" t="inlineStr">
        <is>
          <t>Có ≥ 3 kênh</t>
        </is>
      </c>
      <c r="G423" s="10" t="inlineStr">
        <is>
          <t>Mở `/app/alert-channels`</t>
        </is>
      </c>
      <c r="H423" s="10" t="inlineStr">
        <is>
          <t>—</t>
        </is>
      </c>
      <c r="I423" s="10" t="inlineStr">
        <is>
          <t>Hiển thị tên, loại, đích đã che, mức tối thiểu, trạng thái, tỷ lệ thành công 24h</t>
        </is>
      </c>
      <c r="J423" s="10" t="inlineStr">
        <is>
          <t>UI/UX</t>
        </is>
      </c>
      <c r="K423" s="10" t="inlineStr">
        <is>
          <t>P1 - Cao</t>
        </is>
      </c>
      <c r="L423" s="10" t="inlineStr">
        <is>
          <t>FR-NTF-FE-001</t>
        </is>
      </c>
      <c r="M423" s="11" t="inlineStr">
        <is>
          <t>Chưa chạy</t>
        </is>
      </c>
      <c r="N423" s="11" t="inlineStr"/>
      <c r="O423" s="11" t="inlineStr"/>
      <c r="P423" s="11" t="inlineStr"/>
    </row>
    <row r="424">
      <c r="A424" s="10" t="n">
        <v>423</v>
      </c>
      <c r="B424" s="10" t="inlineStr">
        <is>
          <t>TC-NTF-E2E-002</t>
        </is>
      </c>
      <c r="C424" s="10" t="inlineStr">
        <is>
          <t>Notification</t>
        </is>
      </c>
      <c r="D424" s="10" t="inlineStr">
        <is>
          <t>E2E (UI) — Frontend</t>
        </is>
      </c>
      <c r="E424" s="10" t="inlineStr">
        <is>
          <t>Form đổi theo loại kênh</t>
        </is>
      </c>
      <c r="F424" s="10" t="inlineStr">
        <is>
          <t>ADMIN</t>
        </is>
      </c>
      <c r="G424" s="10" t="inlineStr">
        <is>
          <t>Chọn EMAIL rồi WEBHOOK</t>
        </is>
      </c>
      <c r="H424" s="10" t="inlineStr">
        <is>
          <t>—</t>
        </is>
      </c>
      <c r="I424" s="10" t="inlineStr">
        <is>
          <t>Trường hiển thị tương ứng; validate thay đổi theo loại</t>
        </is>
      </c>
      <c r="J424" s="10" t="inlineStr">
        <is>
          <t>Functional</t>
        </is>
      </c>
      <c r="K424" s="10" t="inlineStr">
        <is>
          <t>P1 - Cao</t>
        </is>
      </c>
      <c r="L424" s="10" t="inlineStr">
        <is>
          <t>FR-NTF-FE-002</t>
        </is>
      </c>
      <c r="M424" s="11" t="inlineStr">
        <is>
          <t>Chưa chạy</t>
        </is>
      </c>
      <c r="N424" s="11" t="inlineStr"/>
      <c r="O424" s="11" t="inlineStr"/>
      <c r="P424" s="11" t="inlineStr"/>
    </row>
    <row r="425">
      <c r="A425" s="10" t="n">
        <v>424</v>
      </c>
      <c r="B425" s="10" t="inlineStr">
        <is>
          <t>TC-NTF-E2E-003</t>
        </is>
      </c>
      <c r="C425" s="10" t="inlineStr">
        <is>
          <t>Notification</t>
        </is>
      </c>
      <c r="D425" s="10" t="inlineStr">
        <is>
          <t>E2E (UI) — Frontend</t>
        </is>
      </c>
      <c r="E425" s="10" t="inlineStr">
        <is>
          <t>Cảnh báo URL không an toàn</t>
        </is>
      </c>
      <c r="F425" s="10" t="inlineStr">
        <is>
          <t>Modal mở</t>
        </is>
      </c>
      <c r="G425" s="10" t="inlineStr">
        <is>
          <t>Nhập `http://10.0.0.5/hook`</t>
        </is>
      </c>
      <c r="H425" s="10" t="inlineStr">
        <is>
          <t>—</t>
        </is>
      </c>
      <c r="I425" s="10" t="inlineStr">
        <is>
          <t>Hiện lỗi ngay trên client trước khi gửi</t>
        </is>
      </c>
      <c r="J425" s="10" t="inlineStr">
        <is>
          <t>Validation</t>
        </is>
      </c>
      <c r="K425" s="10" t="inlineStr">
        <is>
          <t>P1 - Cao</t>
        </is>
      </c>
      <c r="L425" s="10" t="inlineStr">
        <is>
          <t>FR-NTF-FE-002</t>
        </is>
      </c>
      <c r="M425" s="11" t="inlineStr">
        <is>
          <t>Chưa chạy</t>
        </is>
      </c>
      <c r="N425" s="11" t="inlineStr"/>
      <c r="O425" s="11" t="inlineStr"/>
      <c r="P425" s="11" t="inlineStr"/>
    </row>
    <row r="426">
      <c r="A426" s="10" t="n">
        <v>425</v>
      </c>
      <c r="B426" s="10" t="inlineStr">
        <is>
          <t>TC-NTF-E2E-004</t>
        </is>
      </c>
      <c r="C426" s="10" t="inlineStr">
        <is>
          <t>Notification</t>
        </is>
      </c>
      <c r="D426" s="10" t="inlineStr">
        <is>
          <t>E2E (UI) — Frontend</t>
        </is>
      </c>
      <c r="E426" s="10" t="inlineStr">
        <is>
          <t>Gửi thử trong modal</t>
        </is>
      </c>
      <c r="F426" s="10" t="inlineStr">
        <is>
          <t>Kênh tồn tại</t>
        </is>
      </c>
      <c r="G426" s="10" t="inlineStr">
        <is>
          <t>Bấm “Gửi thử”</t>
        </is>
      </c>
      <c r="H426" s="10" t="inlineStr">
        <is>
          <t>—</t>
        </is>
      </c>
      <c r="I426" s="10" t="inlineStr">
        <is>
          <t>Hiển thị kết quả kèm độ trễ; nút khóa 12 giây</t>
        </is>
      </c>
      <c r="J426" s="10" t="inlineStr">
        <is>
          <t>Functional</t>
        </is>
      </c>
      <c r="K426" s="10" t="inlineStr">
        <is>
          <t>P2 - Trung bình</t>
        </is>
      </c>
      <c r="L426" s="10" t="inlineStr">
        <is>
          <t>FR-NTF-FE-003</t>
        </is>
      </c>
      <c r="M426" s="11" t="inlineStr">
        <is>
          <t>Chưa chạy</t>
        </is>
      </c>
      <c r="N426" s="11" t="inlineStr"/>
      <c r="O426" s="11" t="inlineStr"/>
      <c r="P426" s="11" t="inlineStr"/>
    </row>
    <row r="427">
      <c r="A427" s="10" t="n">
        <v>426</v>
      </c>
      <c r="B427" s="10" t="inlineStr">
        <is>
          <t>TC-NTF-E2E-005</t>
        </is>
      </c>
      <c r="C427" s="10" t="inlineStr">
        <is>
          <t>Notification</t>
        </is>
      </c>
      <c r="D427" s="10" t="inlineStr">
        <is>
          <t>E2E (UI) — Frontend</t>
        </is>
      </c>
      <c r="E427" s="10" t="inlineStr">
        <is>
          <t>Secret dạng một chiều</t>
        </is>
      </c>
      <c r="F427" s="10" t="inlineStr">
        <is>
          <t>Sửa kênh có secret</t>
        </is>
      </c>
      <c r="G427" s="10" t="inlineStr">
        <is>
          <t>Mở modal</t>
        </is>
      </c>
      <c r="H427" s="10" t="inlineStr">
        <is>
          <t>—</t>
        </is>
      </c>
      <c r="I427" s="10" t="inlineStr">
        <is>
          <t>Hiển thị `••••••••`; không gửi nếu không nhập mới</t>
        </is>
      </c>
      <c r="J427" s="10" t="inlineStr">
        <is>
          <t>Security</t>
        </is>
      </c>
      <c r="K427" s="10" t="inlineStr">
        <is>
          <t>P1 - Cao</t>
        </is>
      </c>
      <c r="L427" s="10" t="inlineStr">
        <is>
          <t>FR-NTF-FE-004</t>
        </is>
      </c>
      <c r="M427" s="11" t="inlineStr">
        <is>
          <t>Chưa chạy</t>
        </is>
      </c>
      <c r="N427" s="11" t="inlineStr"/>
      <c r="O427" s="11" t="inlineStr"/>
      <c r="P427" s="11" t="inlineStr"/>
    </row>
    <row r="428">
      <c r="A428" s="10" t="n">
        <v>427</v>
      </c>
      <c r="B428" s="10" t="inlineStr">
        <is>
          <t>TC-NTF-E2E-006</t>
        </is>
      </c>
      <c r="C428" s="10" t="inlineStr">
        <is>
          <t>Notification</t>
        </is>
      </c>
      <c r="D428" s="10" t="inlineStr">
        <is>
          <t>E2E (UI) — Frontend</t>
        </is>
      </c>
      <c r="E428" s="10" t="inlineStr">
        <is>
          <t>Lịch sử gửi</t>
        </is>
      </c>
      <c r="F428" s="10" t="inlineStr">
        <is>
          <t>Có bản ghi lỗi</t>
        </is>
      </c>
      <c r="G428" s="10" t="inlineStr">
        <is>
          <t>Mở tab lịch sử, lọc FAILED</t>
        </is>
      </c>
      <c r="H428" s="10" t="inlineStr">
        <is>
          <t>—</t>
        </is>
      </c>
      <c r="I428" s="10" t="inlineStr">
        <is>
          <t>Hiện lý do lỗi; nút gửi lại hoạt động</t>
        </is>
      </c>
      <c r="J428" s="10" t="inlineStr">
        <is>
          <t>Functional</t>
        </is>
      </c>
      <c r="K428" s="10" t="inlineStr">
        <is>
          <t>P3 - Thấp</t>
        </is>
      </c>
      <c r="L428" s="10" t="inlineStr">
        <is>
          <t>FR-NTF-FE-005</t>
        </is>
      </c>
      <c r="M428" s="11" t="inlineStr">
        <is>
          <t>Chưa chạy</t>
        </is>
      </c>
      <c r="N428" s="11" t="inlineStr"/>
      <c r="O428" s="11" t="inlineStr"/>
      <c r="P428" s="11" t="inlineStr"/>
    </row>
    <row r="429">
      <c r="A429" s="10" t="n">
        <v>428</v>
      </c>
      <c r="B429" s="10" t="inlineStr">
        <is>
          <t>TC-NTF-E2E-007</t>
        </is>
      </c>
      <c r="C429" s="10" t="inlineStr">
        <is>
          <t>Notification</t>
        </is>
      </c>
      <c r="D429" s="10" t="inlineStr">
        <is>
          <t>E2E (UI) — Frontend</t>
        </is>
      </c>
      <c r="E429" s="10" t="inlineStr">
        <is>
          <t>Cấu hình SMTP</t>
        </is>
      </c>
      <c r="F429" s="10" t="inlineStr">
        <is>
          <t>ADMIN</t>
        </is>
      </c>
      <c r="G429" s="10" t="inlineStr">
        <is>
          <t>Nhập cấu hình, bấm kiểm tra rồi lưu</t>
        </is>
      </c>
      <c r="H429" s="10" t="inlineStr">
        <is>
          <t>—</t>
        </is>
      </c>
      <c r="I429" s="10" t="inlineStr">
        <is>
          <t>Kiểm tra thành công mới cho lưu (hoặc cảnh báo rõ); mật khẩu không hiển thị lại</t>
        </is>
      </c>
      <c r="J429" s="10" t="inlineStr">
        <is>
          <t>Security</t>
        </is>
      </c>
      <c r="K429" s="10" t="inlineStr">
        <is>
          <t>P1 - Cao</t>
        </is>
      </c>
      <c r="L429" s="10" t="inlineStr">
        <is>
          <t>FR-NTF-FE-006</t>
        </is>
      </c>
      <c r="M429" s="11" t="inlineStr">
        <is>
          <t>Chưa chạy</t>
        </is>
      </c>
      <c r="N429" s="11" t="inlineStr"/>
      <c r="O429" s="11" t="inlineStr"/>
      <c r="P429" s="11" t="inlineStr"/>
    </row>
    <row r="430">
      <c r="A430" s="10" t="n">
        <v>429</v>
      </c>
      <c r="B430" s="10" t="inlineStr">
        <is>
          <t>TC-NTF-E2E-008</t>
        </is>
      </c>
      <c r="C430" s="10" t="inlineStr">
        <is>
          <t>Notification</t>
        </is>
      </c>
      <c r="D430" s="10" t="inlineStr">
        <is>
          <t>E2E (UI) — Frontend</t>
        </is>
      </c>
      <c r="E430" s="10" t="inlineStr">
        <is>
          <t>Toast realtime</t>
        </is>
      </c>
      <c r="F430" s="10" t="inlineStr">
        <is>
          <t>Đang mở ứng dụng</t>
        </is>
      </c>
      <c r="G430" s="10" t="inlineStr">
        <is>
          <t>Kích hoạt sự cố CRITICAL</t>
        </is>
      </c>
      <c r="H430" s="10" t="inlineStr">
        <is>
          <t>—</t>
        </is>
      </c>
      <c r="I430" s="10" t="inlineStr">
        <is>
          <t>Toast đỏ có nút “Xem chi tiết”; tối đa 3 toast, phần còn lại gộp “và N sự cố khác”</t>
        </is>
      </c>
      <c r="J430" s="10" t="inlineStr">
        <is>
          <t>UI/UX</t>
        </is>
      </c>
      <c r="K430" s="10" t="inlineStr">
        <is>
          <t>P2 - Trung bình</t>
        </is>
      </c>
      <c r="L430" s="10" t="inlineStr">
        <is>
          <t>FR-NTF-FE-007</t>
        </is>
      </c>
      <c r="M430" s="11" t="inlineStr">
        <is>
          <t>Chưa chạy</t>
        </is>
      </c>
      <c r="N430" s="11" t="inlineStr"/>
      <c r="O430" s="11" t="inlineStr"/>
      <c r="P430" s="11" t="inlineStr"/>
    </row>
    <row r="431">
      <c r="A431" s="10" t="n">
        <v>430</v>
      </c>
      <c r="B431" s="10" t="inlineStr">
        <is>
          <t>TC-NTF-E2E-009</t>
        </is>
      </c>
      <c r="C431" s="10" t="inlineStr">
        <is>
          <t>Notification</t>
        </is>
      </c>
      <c r="D431" s="10" t="inlineStr">
        <is>
          <t>E2E (UI) — Frontend</t>
        </is>
      </c>
      <c r="E431" s="10" t="inlineStr">
        <is>
          <t>Cảnh báo kênh bị tự tắt</t>
        </is>
      </c>
      <c r="F431" s="10" t="inlineStr">
        <is>
          <t>Kênh vừa bị tắt</t>
        </is>
      </c>
      <c r="G431" s="10" t="inlineStr">
        <is>
          <t>Mở màn hình kênh</t>
        </is>
      </c>
      <c r="H431" s="10" t="inlineStr">
        <is>
          <t>—</t>
        </is>
      </c>
      <c r="I431" s="10" t="inlineStr">
        <is>
          <t>Hiển thị cảnh báo nổi bật kèm lý do</t>
        </is>
      </c>
      <c r="J431" s="10" t="inlineStr">
        <is>
          <t>UI/UX</t>
        </is>
      </c>
      <c r="K431" s="10" t="inlineStr">
        <is>
          <t>P3 - Thấp</t>
        </is>
      </c>
      <c r="L431" s="10" t="inlineStr">
        <is>
          <t>FR-NTF-FE-008</t>
        </is>
      </c>
      <c r="M431" s="11" t="inlineStr">
        <is>
          <t>Chưa chạy</t>
        </is>
      </c>
      <c r="N431" s="11" t="inlineStr"/>
      <c r="O431" s="11" t="inlineStr"/>
      <c r="P431" s="11" t="inlineStr"/>
    </row>
    <row r="432">
      <c r="A432" s="10" t="n">
        <v>431</v>
      </c>
      <c r="B432" s="10" t="inlineStr">
        <is>
          <t>TC-RTM-INT-001</t>
        </is>
      </c>
      <c r="C432" s="10" t="inlineStr">
        <is>
          <t>Realtime</t>
        </is>
      </c>
      <c r="D432" s="10" t="inlineStr">
        <is>
          <t>Integration</t>
        </is>
      </c>
      <c r="E432" s="10" t="inlineStr">
        <is>
          <t>Kết nối có token hợp lệ</t>
        </is>
      </c>
      <c r="F432" s="10" t="inlineStr">
        <is>
          <t>Người dùng đăng nhập</t>
        </is>
      </c>
      <c r="G432" s="10" t="inlineStr">
        <is>
          <t>Mở kết nối `/hubs/monitoring?access_token=…`</t>
        </is>
      </c>
      <c r="H432" s="10" t="inlineStr">
        <is>
          <t>—</t>
        </is>
      </c>
      <c r="I432" s="10" t="inlineStr">
        <is>
          <t>Kết nối thành công, transport WebSocket</t>
        </is>
      </c>
      <c r="J432" s="10" t="inlineStr">
        <is>
          <t>Functional</t>
        </is>
      </c>
      <c r="K432" s="10" t="inlineStr">
        <is>
          <t>P1 - Cao</t>
        </is>
      </c>
      <c r="L432" s="10" t="inlineStr">
        <is>
          <t>FR-RTM-001</t>
        </is>
      </c>
      <c r="M432" s="11" t="inlineStr">
        <is>
          <t>Chưa chạy</t>
        </is>
      </c>
      <c r="N432" s="11" t="inlineStr"/>
      <c r="O432" s="11" t="inlineStr"/>
      <c r="P432" s="11" t="inlineStr"/>
    </row>
    <row r="433">
      <c r="A433" s="10" t="n">
        <v>432</v>
      </c>
      <c r="B433" s="10" t="inlineStr">
        <is>
          <t>TC-RTM-INT-002</t>
        </is>
      </c>
      <c r="C433" s="10" t="inlineStr">
        <is>
          <t>Realtime</t>
        </is>
      </c>
      <c r="D433" s="10" t="inlineStr">
        <is>
          <t>Integration</t>
        </is>
      </c>
      <c r="E433" s="10" t="inlineStr">
        <is>
          <t>Kết nối không token</t>
        </is>
      </c>
      <c r="F433" s="10" t="inlineStr">
        <is>
          <t>—</t>
        </is>
      </c>
      <c r="G433" s="10" t="inlineStr">
        <is>
          <t>Mở kết nối không token</t>
        </is>
      </c>
      <c r="H433" s="10" t="inlineStr">
        <is>
          <t>—</t>
        </is>
      </c>
      <c r="I433" s="10" t="inlineStr">
        <is>
          <t>Bị từ chối 401, không vào được hub</t>
        </is>
      </c>
      <c r="J433" s="10" t="inlineStr">
        <is>
          <t>Security</t>
        </is>
      </c>
      <c r="K433" s="10" t="inlineStr">
        <is>
          <t>P1 - Cao</t>
        </is>
      </c>
      <c r="L433" s="10" t="inlineStr">
        <is>
          <t>FR-RTM-001</t>
        </is>
      </c>
      <c r="M433" s="11" t="inlineStr">
        <is>
          <t>Chưa chạy</t>
        </is>
      </c>
      <c r="N433" s="11" t="inlineStr"/>
      <c r="O433" s="11" t="inlineStr"/>
      <c r="P433" s="11" t="inlineStr"/>
    </row>
    <row r="434">
      <c r="A434" s="10" t="n">
        <v>433</v>
      </c>
      <c r="B434" s="10" t="inlineStr">
        <is>
          <t>TC-RTM-INT-003</t>
        </is>
      </c>
      <c r="C434" s="10" t="inlineStr">
        <is>
          <t>Realtime</t>
        </is>
      </c>
      <c r="D434" s="10" t="inlineStr">
        <is>
          <t>Integration</t>
        </is>
      </c>
      <c r="E434" s="10" t="inlineStr">
        <is>
          <t>Token giả mạo</t>
        </is>
      </c>
      <c r="F434" s="10" t="inlineStr">
        <is>
          <t>—</t>
        </is>
      </c>
      <c r="G434" s="10" t="inlineStr">
        <is>
          <t>Kết nối với JWT sửa payload</t>
        </is>
      </c>
      <c r="H434" s="10" t="inlineStr">
        <is>
          <t>—</t>
        </is>
      </c>
      <c r="I434" s="10" t="inlineStr">
        <is>
          <t>Bị từ chối</t>
        </is>
      </c>
      <c r="J434" s="10" t="inlineStr">
        <is>
          <t>Security</t>
        </is>
      </c>
      <c r="K434" s="10" t="inlineStr">
        <is>
          <t>P1 - Cao</t>
        </is>
      </c>
      <c r="L434" s="10" t="inlineStr">
        <is>
          <t>NFR-SEC-005</t>
        </is>
      </c>
      <c r="M434" s="11" t="inlineStr">
        <is>
          <t>Chưa chạy</t>
        </is>
      </c>
      <c r="N434" s="11" t="inlineStr"/>
      <c r="O434" s="11" t="inlineStr"/>
      <c r="P434" s="11" t="inlineStr"/>
    </row>
    <row r="435">
      <c r="A435" s="10" t="n">
        <v>434</v>
      </c>
      <c r="B435" s="10" t="inlineStr">
        <is>
          <t>TC-RTM-INT-004</t>
        </is>
      </c>
      <c r="C435" s="10" t="inlineStr">
        <is>
          <t>Realtime</t>
        </is>
      </c>
      <c r="D435" s="10" t="inlineStr">
        <is>
          <t>Integration</t>
        </is>
      </c>
      <c r="E435" s="10" t="inlineStr">
        <is>
          <t>Đẩy metric tới nhóm all-nodes</t>
        </is>
      </c>
      <c r="F435" s="10" t="inlineStr">
        <is>
          <t>Client đã `SubscribeAll()`</t>
        </is>
      </c>
      <c r="G435" s="10" t="inlineStr">
        <is>
          <t>Publish `MetricCollectedV1`</t>
        </is>
      </c>
      <c r="H435" s="10" t="inlineStr">
        <is>
          <t>—</t>
        </is>
      </c>
      <c r="I435" s="10" t="inlineStr">
        <is>
          <t>Client nhận `MetricCollected` đúng nội dung trong ≤ 2 giây</t>
        </is>
      </c>
      <c r="J435" s="10" t="inlineStr">
        <is>
          <t>Functional</t>
        </is>
      </c>
      <c r="K435" s="10" t="inlineStr">
        <is>
          <t>P1 - Cao</t>
        </is>
      </c>
      <c r="L435" s="10" t="inlineStr">
        <is>
          <t>FR-RTM-002</t>
        </is>
      </c>
      <c r="M435" s="11" t="inlineStr">
        <is>
          <t>Chưa chạy</t>
        </is>
      </c>
      <c r="N435" s="11" t="inlineStr"/>
      <c r="O435" s="11" t="inlineStr"/>
      <c r="P435" s="11" t="inlineStr"/>
    </row>
    <row r="436">
      <c r="A436" s="10" t="n">
        <v>435</v>
      </c>
      <c r="B436" s="10" t="inlineStr">
        <is>
          <t>TC-RTM-INT-005</t>
        </is>
      </c>
      <c r="C436" s="10" t="inlineStr">
        <is>
          <t>Realtime</t>
        </is>
      </c>
      <c r="D436" s="10" t="inlineStr">
        <is>
          <t>Integration</t>
        </is>
      </c>
      <c r="E436" s="10" t="inlineStr">
        <is>
          <t>Đẩy metric tới nhóm node</t>
        </is>
      </c>
      <c r="F436" s="10" t="inlineStr">
        <is>
          <t>Client `SubscribeNode(A)`</t>
        </is>
      </c>
      <c r="G436" s="10" t="inlineStr">
        <is>
          <t>Publish metric của node B</t>
        </is>
      </c>
      <c r="H436" s="10" t="inlineStr">
        <is>
          <t>—</t>
        </is>
      </c>
      <c r="I436" s="10" t="inlineStr">
        <is>
          <t>Client không nhận sự kiện của node B trong nhóm `node:A`</t>
        </is>
      </c>
      <c r="J436" s="10" t="inlineStr">
        <is>
          <t>Functional</t>
        </is>
      </c>
      <c r="K436" s="10" t="inlineStr">
        <is>
          <t>P2 - Trung bình</t>
        </is>
      </c>
      <c r="L436" s="10" t="inlineStr">
        <is>
          <t>FR-RTM-005</t>
        </is>
      </c>
      <c r="M436" s="11" t="inlineStr">
        <is>
          <t>Chưa chạy</t>
        </is>
      </c>
      <c r="N436" s="11" t="inlineStr"/>
      <c r="O436" s="11" t="inlineStr"/>
      <c r="P436" s="11" t="inlineStr"/>
    </row>
    <row r="437">
      <c r="A437" s="10" t="n">
        <v>436</v>
      </c>
      <c r="B437" s="10" t="inlineStr">
        <is>
          <t>TC-RTM-INT-006</t>
        </is>
      </c>
      <c r="C437" s="10" t="inlineStr">
        <is>
          <t>Realtime</t>
        </is>
      </c>
      <c r="D437" s="10" t="inlineStr">
        <is>
          <t>Integration</t>
        </is>
      </c>
      <c r="E437" s="10" t="inlineStr">
        <is>
          <t>Đẩy sự cố tới mọi client</t>
        </is>
      </c>
      <c r="F437" s="10" t="inlineStr">
        <is>
          <t>3 client đã xác thực</t>
        </is>
      </c>
      <c r="G437" s="10" t="inlineStr">
        <is>
          <t>Publish `IncidentOpenedV1`</t>
        </is>
      </c>
      <c r="H437" s="10" t="inlineStr">
        <is>
          <t>—</t>
        </is>
      </c>
      <c r="I437" s="10" t="inlineStr">
        <is>
          <t>Cả 3 nhận `IncidentOpened`</t>
        </is>
      </c>
      <c r="J437" s="10" t="inlineStr">
        <is>
          <t>Functional</t>
        </is>
      </c>
      <c r="K437" s="10" t="inlineStr">
        <is>
          <t>P1 - Cao</t>
        </is>
      </c>
      <c r="L437" s="10" t="inlineStr">
        <is>
          <t>FR-RTM-003</t>
        </is>
      </c>
      <c r="M437" s="11" t="inlineStr">
        <is>
          <t>Chưa chạy</t>
        </is>
      </c>
      <c r="N437" s="11" t="inlineStr"/>
      <c r="O437" s="11" t="inlineStr"/>
      <c r="P437" s="11" t="inlineStr"/>
    </row>
    <row r="438">
      <c r="A438" s="10" t="n">
        <v>437</v>
      </c>
      <c r="B438" s="10" t="inlineStr">
        <is>
          <t>TC-RTM-INT-007</t>
        </is>
      </c>
      <c r="C438" s="10" t="inlineStr">
        <is>
          <t>Realtime</t>
        </is>
      </c>
      <c r="D438" s="10" t="inlineStr">
        <is>
          <t>Integration</t>
        </is>
      </c>
      <c r="E438" s="10" t="inlineStr">
        <is>
          <t>Đẩy trạng thái node</t>
        </is>
      </c>
      <c r="F438" s="10" t="inlineStr">
        <is>
          <t>—</t>
        </is>
      </c>
      <c r="G438" s="10" t="inlineStr">
        <is>
          <t>Publish `NodeUnreachableV1`</t>
        </is>
      </c>
      <c r="H438" s="10" t="inlineStr">
        <is>
          <t>—</t>
        </is>
      </c>
      <c r="I438" s="10" t="inlineStr">
        <is>
          <t>Client nhận `NodeStatusChanged` với `reason`</t>
        </is>
      </c>
      <c r="J438" s="10" t="inlineStr">
        <is>
          <t>Functional</t>
        </is>
      </c>
      <c r="K438" s="10" t="inlineStr">
        <is>
          <t>P2 - Trung bình</t>
        </is>
      </c>
      <c r="L438" s="10" t="inlineStr">
        <is>
          <t>FR-RTM-004</t>
        </is>
      </c>
      <c r="M438" s="11" t="inlineStr">
        <is>
          <t>Chưa chạy</t>
        </is>
      </c>
      <c r="N438" s="11" t="inlineStr"/>
      <c r="O438" s="11" t="inlineStr"/>
      <c r="P438" s="11" t="inlineStr"/>
    </row>
    <row r="439">
      <c r="A439" s="10" t="n">
        <v>438</v>
      </c>
      <c r="B439" s="10" t="inlineStr">
        <is>
          <t>TC-RTM-INT-008</t>
        </is>
      </c>
      <c r="C439" s="10" t="inlineStr">
        <is>
          <t>Realtime</t>
        </is>
      </c>
      <c r="D439" s="10" t="inlineStr">
        <is>
          <t>Integration</t>
        </is>
      </c>
      <c r="E439" s="10" t="inlineStr">
        <is>
          <t>Nhiều instance đều phát</t>
        </is>
      </c>
      <c r="F439" s="10" t="inlineStr">
        <is>
          <t>2 instance Realtime, client chia đều</t>
        </is>
      </c>
      <c r="G439" s="10" t="inlineStr">
        <is>
          <t>Publish một sự kiện</t>
        </is>
      </c>
      <c r="H439" s="10" t="inlineStr">
        <is>
          <t>—</t>
        </is>
      </c>
      <c r="I439" s="10" t="inlineStr">
        <is>
          <t>Mọi client đều nhận đúng một lần (queue riêng mỗi instance)</t>
        </is>
      </c>
      <c r="J439" s="10" t="inlineStr">
        <is>
          <t>Reliability</t>
        </is>
      </c>
      <c r="K439" s="10" t="inlineStr">
        <is>
          <t>P1 - Cao</t>
        </is>
      </c>
      <c r="L439" s="10" t="inlineStr">
        <is>
          <t>FR-RTM-006</t>
        </is>
      </c>
      <c r="M439" s="11" t="inlineStr">
        <is>
          <t>Chưa chạy</t>
        </is>
      </c>
      <c r="N439" s="11" t="inlineStr"/>
      <c r="O439" s="11" t="inlineStr"/>
      <c r="P439" s="11" t="inlineStr"/>
    </row>
    <row r="440">
      <c r="A440" s="10" t="n">
        <v>439</v>
      </c>
      <c r="B440" s="10" t="inlineStr">
        <is>
          <t>TC-RTM-INT-009</t>
        </is>
      </c>
      <c r="C440" s="10" t="inlineStr">
        <is>
          <t>Realtime</t>
        </is>
      </c>
      <c r="D440" s="10" t="inlineStr">
        <is>
          <t>Integration</t>
        </is>
      </c>
      <c r="E440" s="10" t="inlineStr">
        <is>
          <t>Redis backplane lỗi</t>
        </is>
      </c>
      <c r="F440" s="10" t="inlineStr">
        <is>
          <t>Dừng Redis</t>
        </is>
      </c>
      <c r="G440" s="10" t="inlineStr">
        <is>
          <t>Publish sự kiện</t>
        </is>
      </c>
      <c r="H440" s="10" t="inlineStr">
        <is>
          <t>—</t>
        </is>
      </c>
      <c r="I440" s="10" t="inlineStr">
        <is>
          <t>Client của mỗi instance vẫn nhận; hệ thống không sập</t>
        </is>
      </c>
      <c r="J440" s="10" t="inlineStr">
        <is>
          <t>Reliability</t>
        </is>
      </c>
      <c r="K440" s="10" t="inlineStr">
        <is>
          <t>P2 - Trung bình</t>
        </is>
      </c>
      <c r="L440" s="10" t="inlineStr">
        <is>
          <t>UC-RTM-01/E4</t>
        </is>
      </c>
      <c r="M440" s="11" t="inlineStr">
        <is>
          <t>Chưa chạy</t>
        </is>
      </c>
      <c r="N440" s="11" t="inlineStr"/>
      <c r="O440" s="11" t="inlineStr"/>
      <c r="P440" s="11" t="inlineStr"/>
    </row>
    <row r="441">
      <c r="A441" s="10" t="n">
        <v>440</v>
      </c>
      <c r="B441" s="10" t="inlineStr">
        <is>
          <t>TC-RTM-INT-010</t>
        </is>
      </c>
      <c r="C441" s="10" t="inlineStr">
        <is>
          <t>Realtime</t>
        </is>
      </c>
      <c r="D441" s="10" t="inlineStr">
        <is>
          <t>Integration</t>
        </is>
      </c>
      <c r="E441" s="10" t="inlineStr">
        <is>
          <t>Giới hạn kết nối/người dùng</t>
        </is>
      </c>
      <c r="F441" s="10" t="inlineStr">
        <is>
          <t>10 kết nối cùng tài khoản</t>
        </is>
      </c>
      <c r="G441" s="10" t="inlineStr">
        <is>
          <t>Mở kết nối thứ 11</t>
        </is>
      </c>
      <c r="H441" s="10" t="inlineStr">
        <is>
          <t>—</t>
        </is>
      </c>
      <c r="I441" s="10" t="inlineStr">
        <is>
          <t>Kết nối cũ nhất bị đóng, tổng vẫn 10</t>
        </is>
      </c>
      <c r="J441" s="10" t="inlineStr">
        <is>
          <t>Security</t>
        </is>
      </c>
      <c r="K441" s="10" t="inlineStr">
        <is>
          <t>P2 - Trung bình</t>
        </is>
      </c>
      <c r="L441" s="10" t="inlineStr">
        <is>
          <t>FR-RTM-007</t>
        </is>
      </c>
      <c r="M441" s="11" t="inlineStr">
        <is>
          <t>Chưa chạy</t>
        </is>
      </c>
      <c r="N441" s="11" t="inlineStr"/>
      <c r="O441" s="11" t="inlineStr"/>
      <c r="P441" s="11" t="inlineStr"/>
    </row>
    <row r="442">
      <c r="A442" s="10" t="n">
        <v>441</v>
      </c>
      <c r="B442" s="10" t="inlineStr">
        <is>
          <t>TC-RTM-INT-011</t>
        </is>
      </c>
      <c r="C442" s="10" t="inlineStr">
        <is>
          <t>Realtime</t>
        </is>
      </c>
      <c r="D442" s="10" t="inlineStr">
        <is>
          <t>Integration</t>
        </is>
      </c>
      <c r="E442" s="10" t="inlineStr">
        <is>
          <t>Đóng khi token hết hạn</t>
        </is>
      </c>
      <c r="F442" s="10" t="inlineStr">
        <is>
          <t>Token còn 10 giây</t>
        </is>
      </c>
      <c r="G442" s="10" t="inlineStr">
        <is>
          <t>Chờ hết hạn</t>
        </is>
      </c>
      <c r="H442" s="10" t="inlineStr">
        <is>
          <t>—</t>
        </is>
      </c>
      <c r="I442" s="10" t="inlineStr">
        <is>
          <t>Server đóng kết nối; client kết nối lại bằng token mới</t>
        </is>
      </c>
      <c r="J442" s="10" t="inlineStr">
        <is>
          <t>Security</t>
        </is>
      </c>
      <c r="K442" s="10" t="inlineStr">
        <is>
          <t>P1 - Cao</t>
        </is>
      </c>
      <c r="L442" s="10" t="inlineStr">
        <is>
          <t>FR-RTM-009</t>
        </is>
      </c>
      <c r="M442" s="11" t="inlineStr">
        <is>
          <t>Chưa chạy</t>
        </is>
      </c>
      <c r="N442" s="11" t="inlineStr"/>
      <c r="O442" s="11" t="inlineStr"/>
      <c r="P442" s="11" t="inlineStr"/>
    </row>
    <row r="443">
      <c r="A443" s="10" t="n">
        <v>442</v>
      </c>
      <c r="B443" s="10" t="inlineStr">
        <is>
          <t>TC-RTM-INT-012</t>
        </is>
      </c>
      <c r="C443" s="10" t="inlineStr">
        <is>
          <t>Realtime</t>
        </is>
      </c>
      <c r="D443" s="10" t="inlineStr">
        <is>
          <t>Integration</t>
        </is>
      </c>
      <c r="E443" s="10" t="inlineStr">
        <is>
          <t>Không đẩy dữ liệu nhạy cảm</t>
        </is>
      </c>
      <c r="F443" s="10" t="inlineStr">
        <is>
          <t>—</t>
        </is>
      </c>
      <c r="G443" s="10" t="inlineStr">
        <is>
          <t>Bắt mọi payload gửi xuống client</t>
        </is>
      </c>
      <c r="H443" s="10" t="inlineStr">
        <is>
          <t>—</t>
        </is>
      </c>
      <c r="I443" s="10" t="inlineStr">
        <is>
          <t>Không có credential, không có thông tin người dùng khác ngoài tên hiển thị</t>
        </is>
      </c>
      <c r="J443" s="10" t="inlineStr">
        <is>
          <t>Security</t>
        </is>
      </c>
      <c r="K443" s="10" t="inlineStr">
        <is>
          <t>P1 - Cao</t>
        </is>
      </c>
      <c r="L443" s="10" t="inlineStr">
        <is>
          <t>BR-RTM-001</t>
        </is>
      </c>
      <c r="M443" s="11" t="inlineStr">
        <is>
          <t>Chưa chạy</t>
        </is>
      </c>
      <c r="N443" s="11" t="inlineStr"/>
      <c r="O443" s="11" t="inlineStr"/>
      <c r="P443" s="11" t="inlineStr"/>
    </row>
    <row r="444">
      <c r="A444" s="10" t="n">
        <v>443</v>
      </c>
      <c r="B444" s="10" t="inlineStr">
        <is>
          <t>TC-RTM-INT-013</t>
        </is>
      </c>
      <c r="C444" s="10" t="inlineStr">
        <is>
          <t>Realtime</t>
        </is>
      </c>
      <c r="D444" s="10" t="inlineStr">
        <is>
          <t>Integration</t>
        </is>
      </c>
      <c r="E444" s="10" t="inlineStr">
        <is>
          <t>Sự kiện quản trị không tới VIEWER</t>
        </is>
      </c>
      <c r="F444" s="10" t="inlineStr">
        <is>
          <t>Client VIEWER</t>
        </is>
      </c>
      <c r="G444" s="10" t="inlineStr">
        <is>
          <t>Publish sự kiện nhóm `admins`</t>
        </is>
      </c>
      <c r="H444" s="10" t="inlineStr">
        <is>
          <t>—</t>
        </is>
      </c>
      <c r="I444" s="10" t="inlineStr">
        <is>
          <t>VIEWER không nhận</t>
        </is>
      </c>
      <c r="J444" s="10" t="inlineStr">
        <is>
          <t>Security</t>
        </is>
      </c>
      <c r="K444" s="10" t="inlineStr">
        <is>
          <t>P2 - Trung bình</t>
        </is>
      </c>
      <c r="L444" s="10" t="inlineStr">
        <is>
          <t>BR-RTM-002</t>
        </is>
      </c>
      <c r="M444" s="11" t="inlineStr">
        <is>
          <t>Chưa chạy</t>
        </is>
      </c>
      <c r="N444" s="11" t="inlineStr"/>
      <c r="O444" s="11" t="inlineStr"/>
      <c r="P444" s="11" t="inlineStr"/>
    </row>
    <row r="445">
      <c r="A445" s="10" t="n">
        <v>444</v>
      </c>
      <c r="B445" s="10" t="inlineStr">
        <is>
          <t>TC-RTM-INT-014</t>
        </is>
      </c>
      <c r="C445" s="10" t="inlineStr">
        <is>
          <t>Realtime</t>
        </is>
      </c>
      <c r="D445" s="10" t="inlineStr">
        <is>
          <t>Integration</t>
        </is>
      </c>
      <c r="E445" s="10" t="inlineStr">
        <is>
          <t>Gộp sự kiện khi bão</t>
        </is>
      </c>
      <c r="F445" s="10" t="inlineStr">
        <is>
          <t>200 metric trong 1 giây</t>
        </is>
      </c>
      <c r="G445" s="10" t="inlineStr">
        <is>
          <t>Publish liên tiếp</t>
        </is>
      </c>
      <c r="H445" s="10" t="inlineStr">
        <is>
          <t>—</t>
        </is>
      </c>
      <c r="I445" s="10" t="inlineStr">
        <is>
          <t>Tối đa 20 sự kiện/giây/kết nối, dữ liệu được gộp theo lô 500 ms</t>
        </is>
      </c>
      <c r="J445" s="10" t="inlineStr">
        <is>
          <t>Performance</t>
        </is>
      </c>
      <c r="K445" s="10" t="inlineStr">
        <is>
          <t>P2 - Trung bình</t>
        </is>
      </c>
      <c r="L445" s="10" t="inlineStr">
        <is>
          <t>SRS §7</t>
        </is>
      </c>
      <c r="M445" s="11" t="inlineStr">
        <is>
          <t>Chưa chạy</t>
        </is>
      </c>
      <c r="N445" s="11" t="inlineStr"/>
      <c r="O445" s="11" t="inlineStr"/>
      <c r="P445" s="11" t="inlineStr"/>
    </row>
    <row r="446">
      <c r="A446" s="10" t="n">
        <v>445</v>
      </c>
      <c r="B446" s="10" t="inlineStr">
        <is>
          <t>TC-RTM-INT-015</t>
        </is>
      </c>
      <c r="C446" s="10" t="inlineStr">
        <is>
          <t>Realtime</t>
        </is>
      </c>
      <c r="D446" s="10" t="inlineStr">
        <is>
          <t>Integration</t>
        </is>
      </c>
      <c r="E446" s="10" t="inlineStr">
        <is>
          <t>Token trong query bị che trong log</t>
        </is>
      </c>
      <c r="F446" s="10" t="inlineStr">
        <is>
          <t>—</t>
        </is>
      </c>
      <c r="G446" s="10" t="inlineStr">
        <is>
          <t>Kết nối rồi đọc log gateway/service</t>
        </is>
      </c>
      <c r="H446" s="10" t="inlineStr">
        <is>
          <t>—</t>
        </is>
      </c>
      <c r="I446" s="10" t="inlineStr">
        <is>
          <t>Không thấy giá trị token trong log</t>
        </is>
      </c>
      <c r="J446" s="10" t="inlineStr">
        <is>
          <t>Security</t>
        </is>
      </c>
      <c r="K446" s="10" t="inlineStr">
        <is>
          <t>P1 - Cao</t>
        </is>
      </c>
      <c r="L446" s="10" t="inlineStr">
        <is>
          <t>BR-RTM-005</t>
        </is>
      </c>
      <c r="M446" s="11" t="inlineStr">
        <is>
          <t>Chưa chạy</t>
        </is>
      </c>
      <c r="N446" s="11" t="inlineStr"/>
      <c r="O446" s="11" t="inlineStr"/>
      <c r="P446" s="11" t="inlineStr"/>
    </row>
    <row r="447">
      <c r="A447" s="10" t="n">
        <v>446</v>
      </c>
      <c r="B447" s="10" t="inlineStr">
        <is>
          <t>TC-RTM-PERF-001</t>
        </is>
      </c>
      <c r="C447" s="10" t="inlineStr">
        <is>
          <t>Realtime</t>
        </is>
      </c>
      <c r="D447" s="10" t="inlineStr">
        <is>
          <t>Performance</t>
        </is>
      </c>
      <c r="E447" s="10" t="inlineStr">
        <is>
          <t>200 kết nối đồng thời</t>
        </is>
      </c>
      <c r="F447" s="10" t="inlineStr">
        <is>
          <t>Môi trường staging</t>
        </is>
      </c>
      <c r="G447" s="10" t="inlineStr">
        <is>
          <t>Mở 200 kết nối, publish 50 sự kiện/giây</t>
        </is>
      </c>
      <c r="H447" s="10" t="inlineStr">
        <is>
          <t>—</t>
        </is>
      </c>
      <c r="I447" s="10" t="inlineStr">
        <is>
          <t>CPU pod &lt; 60%, độ trễ p95 ≤ 2 giây, không rớt kết nối</t>
        </is>
      </c>
      <c r="J447" s="10" t="inlineStr">
        <is>
          <t>Performance</t>
        </is>
      </c>
      <c r="K447" s="10" t="inlineStr">
        <is>
          <t>P1 - Cao</t>
        </is>
      </c>
      <c r="L447" s="10" t="inlineStr">
        <is>
          <t>NFR-SCL-004, NFR-PERF-011</t>
        </is>
      </c>
      <c r="M447" s="11" t="inlineStr">
        <is>
          <t>Chưa chạy</t>
        </is>
      </c>
      <c r="N447" s="11" t="inlineStr"/>
      <c r="O447" s="11" t="inlineStr"/>
      <c r="P447" s="11" t="inlineStr"/>
    </row>
    <row r="448">
      <c r="A448" s="10" t="n">
        <v>447</v>
      </c>
      <c r="B448" s="10" t="inlineStr">
        <is>
          <t>TC-RTM-E2E-001</t>
        </is>
      </c>
      <c r="C448" s="10" t="inlineStr">
        <is>
          <t>Realtime</t>
        </is>
      </c>
      <c r="D448" s="10" t="inlineStr">
        <is>
          <t>E2E (UI)</t>
        </is>
      </c>
      <c r="E448" s="10" t="inlineStr">
        <is>
          <t>Một kết nối cho toàn ứng dụng</t>
        </is>
      </c>
      <c r="F448" s="10" t="inlineStr">
        <is>
          <t>Đăng nhập</t>
        </is>
      </c>
      <c r="G448" s="10" t="inlineStr">
        <is>
          <t>Điều hướng qua 4 màn hình</t>
        </is>
      </c>
      <c r="H448" s="10" t="inlineStr">
        <is>
          <t>—</t>
        </is>
      </c>
      <c r="I448" s="10" t="inlineStr">
        <is>
          <t>Chỉ một kết nối WebSocket tồn tại</t>
        </is>
      </c>
      <c r="J448" s="10" t="inlineStr">
        <is>
          <t>Performance</t>
        </is>
      </c>
      <c r="K448" s="10" t="inlineStr">
        <is>
          <t>P2 - Trung bình</t>
        </is>
      </c>
      <c r="L448" s="10" t="inlineStr">
        <is>
          <t>FR-RTM-FE-001</t>
        </is>
      </c>
      <c r="M448" s="11" t="inlineStr">
        <is>
          <t>Chưa chạy</t>
        </is>
      </c>
      <c r="N448" s="11" t="inlineStr"/>
      <c r="O448" s="11" t="inlineStr"/>
      <c r="P448" s="11" t="inlineStr"/>
    </row>
    <row r="449">
      <c r="A449" s="10" t="n">
        <v>448</v>
      </c>
      <c r="B449" s="10" t="inlineStr">
        <is>
          <t>TC-RTM-E2E-002</t>
        </is>
      </c>
      <c r="C449" s="10" t="inlineStr">
        <is>
          <t>Realtime</t>
        </is>
      </c>
      <c r="D449" s="10" t="inlineStr">
        <is>
          <t>E2E (UI)</t>
        </is>
      </c>
      <c r="E449" s="10" t="inlineStr">
        <is>
          <t>Chỉ báo trạng thái kết nối</t>
        </is>
      </c>
      <c r="F449" s="10" t="inlineStr">
        <is>
          <t>Đang trực tuyến</t>
        </is>
      </c>
      <c r="G449" s="10" t="inlineStr">
        <is>
          <t>Ngắt mạng</t>
        </is>
      </c>
      <c r="H449" s="10" t="inlineStr">
        <is>
          <t>—</t>
        </is>
      </c>
      <c r="I449" s="10" t="inlineStr">
        <is>
          <t>Chỉ báo chuyển “Đang kết nối lại” (vàng) rồi “Ngoại tuyến” (xám)</t>
        </is>
      </c>
      <c r="J449" s="10" t="inlineStr">
        <is>
          <t>UI/UX</t>
        </is>
      </c>
      <c r="K449" s="10" t="inlineStr">
        <is>
          <t>P1 - Cao</t>
        </is>
      </c>
      <c r="L449" s="10" t="inlineStr">
        <is>
          <t>FR-RTM-FE-003</t>
        </is>
      </c>
      <c r="M449" s="11" t="inlineStr">
        <is>
          <t>Chưa chạy</t>
        </is>
      </c>
      <c r="N449" s="11" t="inlineStr"/>
      <c r="O449" s="11" t="inlineStr"/>
      <c r="P449" s="11" t="inlineStr"/>
    </row>
    <row r="450">
      <c r="A450" s="10" t="n">
        <v>449</v>
      </c>
      <c r="B450" s="10" t="inlineStr">
        <is>
          <t>TC-RTM-E2E-003</t>
        </is>
      </c>
      <c r="C450" s="10" t="inlineStr">
        <is>
          <t>Realtime</t>
        </is>
      </c>
      <c r="D450" s="10" t="inlineStr">
        <is>
          <t>E2E (UI)</t>
        </is>
      </c>
      <c r="E450" s="10" t="inlineStr">
        <is>
          <t>Tự kết nối lại</t>
        </is>
      </c>
      <c r="F450" s="10" t="inlineStr">
        <is>
          <t>Mất mạng 20 giây</t>
        </is>
      </c>
      <c r="G450" s="10" t="inlineStr">
        <is>
          <t>Bật mạng lại</t>
        </is>
      </c>
      <c r="H450" s="10" t="inlineStr">
        <is>
          <t>—</t>
        </is>
      </c>
      <c r="I450" s="10" t="inlineStr">
        <is>
          <t>Kết nối lại tự động, chỉ báo về “Trực tuyến”, dữ liệu đồng bộ</t>
        </is>
      </c>
      <c r="J450" s="10" t="inlineStr">
        <is>
          <t>Reliability</t>
        </is>
      </c>
      <c r="K450" s="10" t="inlineStr">
        <is>
          <t>P1 - Cao</t>
        </is>
      </c>
      <c r="L450" s="10" t="inlineStr">
        <is>
          <t>FR-RTM-FE-002</t>
        </is>
      </c>
      <c r="M450" s="11" t="inlineStr">
        <is>
          <t>Chưa chạy</t>
        </is>
      </c>
      <c r="N450" s="11" t="inlineStr"/>
      <c r="O450" s="11" t="inlineStr"/>
      <c r="P450" s="11" t="inlineStr"/>
    </row>
    <row r="451">
      <c r="A451" s="10" t="n">
        <v>450</v>
      </c>
      <c r="B451" s="10" t="inlineStr">
        <is>
          <t>TC-RTM-E2E-004</t>
        </is>
      </c>
      <c r="C451" s="10" t="inlineStr">
        <is>
          <t>Realtime</t>
        </is>
      </c>
      <c r="D451" s="10" t="inlineStr">
        <is>
          <t>E2E (UI)</t>
        </is>
      </c>
      <c r="E451" s="10" t="inlineStr">
        <is>
          <t>Fallback polling</t>
        </is>
      </c>
      <c r="F451" s="10" t="inlineStr">
        <is>
          <t>Chặn WebSocket</t>
        </is>
      </c>
      <c r="G451" s="10" t="inlineStr">
        <is>
          <t>Mở ứng dụng</t>
        </is>
      </c>
      <c r="H451" s="10" t="inlineStr">
        <is>
          <t>—</t>
        </is>
      </c>
      <c r="I451" s="10" t="inlineStr">
        <is>
          <t>Sau 30 giây chuyển polling 30 giây; mọi chức năng vẫn dùng được</t>
        </is>
      </c>
      <c r="J451" s="10" t="inlineStr">
        <is>
          <t>Reliability</t>
        </is>
      </c>
      <c r="K451" s="10" t="inlineStr">
        <is>
          <t>P1 - Cao</t>
        </is>
      </c>
      <c r="L451" s="10" t="inlineStr">
        <is>
          <t>BR-RTM-003</t>
        </is>
      </c>
      <c r="M451" s="11" t="inlineStr">
        <is>
          <t>Chưa chạy</t>
        </is>
      </c>
      <c r="N451" s="11" t="inlineStr"/>
      <c r="O451" s="11" t="inlineStr"/>
      <c r="P451" s="11" t="inlineStr"/>
    </row>
    <row r="452">
      <c r="A452" s="10" t="n">
        <v>451</v>
      </c>
      <c r="B452" s="10" t="inlineStr">
        <is>
          <t>TC-RTM-E2E-005</t>
        </is>
      </c>
      <c r="C452" s="10" t="inlineStr">
        <is>
          <t>Realtime</t>
        </is>
      </c>
      <c r="D452" s="10" t="inlineStr">
        <is>
          <t>E2E (UI)</t>
        </is>
      </c>
      <c r="E452" s="10" t="inlineStr">
        <is>
          <t>Cập nhật cache không refetch</t>
        </is>
      </c>
      <c r="F452" s="10" t="inlineStr">
        <is>
          <t>Đang ở Dashboard</t>
        </is>
      </c>
      <c r="G452" s="10" t="inlineStr">
        <is>
          <t>Kích hoạt metric mới</t>
        </is>
      </c>
      <c r="H452" s="10" t="inlineStr">
        <is>
          <t>—</t>
        </is>
      </c>
      <c r="I452" s="10" t="inlineStr">
        <is>
          <t>Giao diện cập nhật; tab Network không có request danh sách mới</t>
        </is>
      </c>
      <c r="J452" s="10" t="inlineStr">
        <is>
          <t>Performance</t>
        </is>
      </c>
      <c r="K452" s="10" t="inlineStr">
        <is>
          <t>P1 - Cao</t>
        </is>
      </c>
      <c r="L452" s="10" t="inlineStr">
        <is>
          <t>FR-RTM-FE-004</t>
        </is>
      </c>
      <c r="M452" s="11" t="inlineStr">
        <is>
          <t>Chưa chạy</t>
        </is>
      </c>
      <c r="N452" s="11" t="inlineStr"/>
      <c r="O452" s="11" t="inlineStr"/>
      <c r="P452" s="11" t="inlineStr"/>
    </row>
    <row r="453">
      <c r="A453" s="10" t="n">
        <v>452</v>
      </c>
      <c r="B453" s="10" t="inlineStr">
        <is>
          <t>TC-RTM-E2E-006</t>
        </is>
      </c>
      <c r="C453" s="10" t="inlineStr">
        <is>
          <t>Realtime</t>
        </is>
      </c>
      <c r="D453" s="10" t="inlineStr">
        <is>
          <t>E2E (UI)</t>
        </is>
      </c>
      <c r="E453" s="10" t="inlineStr">
        <is>
          <t>Subscribe/Unsubscribe theo trang</t>
        </is>
      </c>
      <c r="F453" s="10" t="inlineStr">
        <is>
          <t>—</t>
        </is>
      </c>
      <c r="G453" s="10" t="inlineStr">
        <is>
          <t>Vào Node Detail rồi rời trang</t>
        </is>
      </c>
      <c r="H453" s="10" t="inlineStr">
        <is>
          <t>—</t>
        </is>
      </c>
      <c r="I453" s="10" t="inlineStr">
        <is>
          <t>Gọi `SubscribeNode` khi vào, `UnsubscribeNode` khi rời</t>
        </is>
      </c>
      <c r="J453" s="10" t="inlineStr">
        <is>
          <t>Functional</t>
        </is>
      </c>
      <c r="K453" s="10" t="inlineStr">
        <is>
          <t>P2 - Trung bình</t>
        </is>
      </c>
      <c r="L453" s="10" t="inlineStr">
        <is>
          <t>FR-RTM-FE-005</t>
        </is>
      </c>
      <c r="M453" s="11" t="inlineStr">
        <is>
          <t>Chưa chạy</t>
        </is>
      </c>
      <c r="N453" s="11" t="inlineStr"/>
      <c r="O453" s="11" t="inlineStr"/>
      <c r="P453" s="11" t="inlineStr"/>
    </row>
    <row r="454">
      <c r="A454" s="10" t="n">
        <v>453</v>
      </c>
      <c r="B454" s="10" t="inlineStr">
        <is>
          <t>TC-RTM-E2E-007</t>
        </is>
      </c>
      <c r="C454" s="10" t="inlineStr">
        <is>
          <t>Realtime</t>
        </is>
      </c>
      <c r="D454" s="10" t="inlineStr">
        <is>
          <t>E2E (UI)</t>
        </is>
      </c>
      <c r="E454" s="10" t="inlineStr">
        <is>
          <t>Bỏ qua sự kiện cũ</t>
        </is>
      </c>
      <c r="F454" s="10" t="inlineStr">
        <is>
          <t>—</t>
        </is>
      </c>
      <c r="G454" s="10" t="inlineStr">
        <is>
          <t>Gửi sự kiện có `occurredAt` cũ hơn dữ liệu hiện tại</t>
        </is>
      </c>
      <c r="H454" s="10" t="inlineStr">
        <is>
          <t>—</t>
        </is>
      </c>
      <c r="I454" s="10" t="inlineStr">
        <is>
          <t>Giao diện không bị lùi dữ liệu</t>
        </is>
      </c>
      <c r="J454" s="10" t="inlineStr">
        <is>
          <t>Reliability</t>
        </is>
      </c>
      <c r="K454" s="10" t="inlineStr">
        <is>
          <t>P2 - Trung bình</t>
        </is>
      </c>
      <c r="L454" s="10" t="inlineStr">
        <is>
          <t>FR-RTM-FE-006</t>
        </is>
      </c>
      <c r="M454" s="11" t="inlineStr">
        <is>
          <t>Chưa chạy</t>
        </is>
      </c>
      <c r="N454" s="11" t="inlineStr"/>
      <c r="O454" s="11" t="inlineStr"/>
      <c r="P454" s="11" t="inlineStr"/>
    </row>
    <row r="455">
      <c r="A455" s="10" t="n">
        <v>454</v>
      </c>
      <c r="B455" s="10" t="inlineStr">
        <is>
          <t>TC-RTM-E2E-008</t>
        </is>
      </c>
      <c r="C455" s="10" t="inlineStr">
        <is>
          <t>Realtime</t>
        </is>
      </c>
      <c r="D455" s="10" t="inlineStr">
        <is>
          <t>E2E (UI)</t>
        </is>
      </c>
      <c r="E455" s="10" t="inlineStr">
        <is>
          <t>Không rò rỉ kết nối khi đăng xuất</t>
        </is>
      </c>
      <c r="F455" s="10" t="inlineStr">
        <is>
          <t>Đang kết nối</t>
        </is>
      </c>
      <c r="G455" s="10" t="inlineStr">
        <is>
          <t>Đăng xuất</t>
        </is>
      </c>
      <c r="H455" s="10" t="inlineStr">
        <is>
          <t>—</t>
        </is>
      </c>
      <c r="I455" s="10" t="inlineStr">
        <is>
          <t>Kết nối WebSocket được đóng; không còn sự kiện nào tới</t>
        </is>
      </c>
      <c r="J455" s="10" t="inlineStr">
        <is>
          <t>Security</t>
        </is>
      </c>
      <c r="K455" s="10" t="inlineStr">
        <is>
          <t>P2 - Trung bình</t>
        </is>
      </c>
      <c r="L455" s="10" t="inlineStr">
        <is>
          <t>FR-RTM-FE-001</t>
        </is>
      </c>
      <c r="M455" s="11" t="inlineStr">
        <is>
          <t>Chưa chạy</t>
        </is>
      </c>
      <c r="N455" s="11" t="inlineStr"/>
      <c r="O455" s="11" t="inlineStr"/>
      <c r="P455" s="11" t="inlineStr"/>
    </row>
    <row r="456">
      <c r="A456" s="10" t="n">
        <v>455</v>
      </c>
      <c r="B456" s="10" t="inlineStr">
        <is>
          <t>TC-AUD-INT-001</t>
        </is>
      </c>
      <c r="C456" s="10" t="inlineStr">
        <is>
          <t>Audit</t>
        </is>
      </c>
      <c r="D456" s="10" t="inlineStr">
        <is>
          <t>Integration</t>
        </is>
      </c>
      <c r="E456" s="10" t="inlineStr">
        <is>
          <t>Ghi audit khi tạo node</t>
        </is>
      </c>
      <c r="F456" s="10" t="inlineStr">
        <is>
          <t>Bus chạy</t>
        </is>
      </c>
      <c r="G456" s="10" t="inlineStr">
        <is>
          <t>ADMIN tạo node</t>
        </is>
      </c>
      <c r="H456" s="10" t="inlineStr">
        <is>
          <t>—</t>
        </is>
      </c>
      <c r="I456" s="10" t="inlineStr">
        <is>
          <t>Bản ghi `NODE_CREATED` có actor, entityId, `after`, `correlationId`</t>
        </is>
      </c>
      <c r="J456" s="10" t="inlineStr">
        <is>
          <t>Integration</t>
        </is>
      </c>
      <c r="K456" s="10" t="inlineStr">
        <is>
          <t>P1 - Cao</t>
        </is>
      </c>
      <c r="L456" s="10" t="inlineStr">
        <is>
          <t>FR-AUD-001</t>
        </is>
      </c>
      <c r="M456" s="11" t="inlineStr">
        <is>
          <t>Chưa chạy</t>
        </is>
      </c>
      <c r="N456" s="11" t="inlineStr"/>
      <c r="O456" s="11" t="inlineStr"/>
      <c r="P456" s="11" t="inlineStr"/>
    </row>
    <row r="457">
      <c r="A457" s="10" t="n">
        <v>456</v>
      </c>
      <c r="B457" s="10" t="inlineStr">
        <is>
          <t>TC-AUD-INT-002</t>
        </is>
      </c>
      <c r="C457" s="10" t="inlineStr">
        <is>
          <t>Audit</t>
        </is>
      </c>
      <c r="D457" s="10" t="inlineStr">
        <is>
          <t>Integration</t>
        </is>
      </c>
      <c r="E457" s="10" t="inlineStr">
        <is>
          <t>Ghi diff khi sửa</t>
        </is>
      </c>
      <c r="F457" s="10" t="inlineStr">
        <is>
          <t>Node tồn tại</t>
        </is>
      </c>
      <c r="G457" s="10" t="inlineStr">
        <is>
          <t>Sửa tên node</t>
        </is>
      </c>
      <c r="H457" s="10" t="inlineStr">
        <is>
          <t>—</t>
        </is>
      </c>
      <c r="I457" s="10" t="inlineStr">
        <is>
          <t>`before.name` và `after.name` đúng; chỉ chứa trường thay đổi cần thiết</t>
        </is>
      </c>
      <c r="J457" s="10" t="inlineStr">
        <is>
          <t>Integration</t>
        </is>
      </c>
      <c r="K457" s="10" t="inlineStr">
        <is>
          <t>P1 - Cao</t>
        </is>
      </c>
      <c r="L457" s="10" t="inlineStr">
        <is>
          <t>FR-AUD-003</t>
        </is>
      </c>
      <c r="M457" s="11" t="inlineStr">
        <is>
          <t>Chưa chạy</t>
        </is>
      </c>
      <c r="N457" s="11" t="inlineStr"/>
      <c r="O457" s="11" t="inlineStr"/>
      <c r="P457" s="11" t="inlineStr"/>
    </row>
    <row r="458">
      <c r="A458" s="10" t="n">
        <v>457</v>
      </c>
      <c r="B458" s="10" t="inlineStr">
        <is>
          <t>TC-AUD-INT-003</t>
        </is>
      </c>
      <c r="C458" s="10" t="inlineStr">
        <is>
          <t>Audit</t>
        </is>
      </c>
      <c r="D458" s="10" t="inlineStr">
        <is>
          <t>Integration</t>
        </is>
      </c>
      <c r="E458" s="10" t="inlineStr">
        <is>
          <t>Lọc trường nhạy cảm</t>
        </is>
      </c>
      <c r="F458" s="10" t="inlineStr">
        <is>
          <t>Node có credential</t>
        </is>
      </c>
      <c r="G458" s="10" t="inlineStr">
        <is>
          <t>Sửa credential</t>
        </is>
      </c>
      <c r="H458" s="10" t="inlineStr">
        <is>
          <t>—</t>
        </is>
      </c>
      <c r="I458" s="10" t="inlineStr">
        <is>
          <t>`before/after` hiển thị `"*"`, không có plaintext hay ciphertext</t>
        </is>
      </c>
      <c r="J458" s="10" t="inlineStr">
        <is>
          <t>Security</t>
        </is>
      </c>
      <c r="K458" s="10" t="inlineStr">
        <is>
          <t>P1 - Cao</t>
        </is>
      </c>
      <c r="L458" s="10" t="inlineStr">
        <is>
          <t>FR-AUD-004</t>
        </is>
      </c>
      <c r="M458" s="11" t="inlineStr">
        <is>
          <t>Chưa chạy</t>
        </is>
      </c>
      <c r="N458" s="11" t="inlineStr"/>
      <c r="O458" s="11" t="inlineStr"/>
      <c r="P458" s="11" t="inlineStr"/>
    </row>
    <row r="459">
      <c r="A459" s="10" t="n">
        <v>458</v>
      </c>
      <c r="B459" s="10" t="inlineStr">
        <is>
          <t>TC-AUD-INT-004</t>
        </is>
      </c>
      <c r="C459" s="10" t="inlineStr">
        <is>
          <t>Audit</t>
        </is>
      </c>
      <c r="D459" s="10" t="inlineStr">
        <is>
          <t>Integration</t>
        </is>
      </c>
      <c r="E459" s="10" t="inlineStr">
        <is>
          <t>Ghi audit sự kiện bảo mật</t>
        </is>
      </c>
      <c r="F459" s="10" t="inlineStr">
        <is>
          <t>—</t>
        </is>
      </c>
      <c r="G459" s="10" t="inlineStr">
        <is>
          <t>Đăng nhập sai 5 lần</t>
        </is>
      </c>
      <c r="H459" s="10" t="inlineStr">
        <is>
          <t>—</t>
        </is>
      </c>
      <c r="I459" s="10" t="inlineStr">
        <is>
          <t>Có `LOGIN_FAILED` ×5 và `ACCOUNT_LOCKED` ×1</t>
        </is>
      </c>
      <c r="J459" s="10" t="inlineStr">
        <is>
          <t>Security</t>
        </is>
      </c>
      <c r="K459" s="10" t="inlineStr">
        <is>
          <t>P1 - Cao</t>
        </is>
      </c>
      <c r="L459" s="10" t="inlineStr">
        <is>
          <t>FR-AUD-002</t>
        </is>
      </c>
      <c r="M459" s="11" t="inlineStr">
        <is>
          <t>Chưa chạy</t>
        </is>
      </c>
      <c r="N459" s="11" t="inlineStr"/>
      <c r="O459" s="11" t="inlineStr"/>
      <c r="P459" s="11" t="inlineStr"/>
    </row>
    <row r="460">
      <c r="A460" s="10" t="n">
        <v>459</v>
      </c>
      <c r="B460" s="10" t="inlineStr">
        <is>
          <t>TC-AUD-INT-005</t>
        </is>
      </c>
      <c r="C460" s="10" t="inlineStr">
        <is>
          <t>Audit</t>
        </is>
      </c>
      <c r="D460" s="10" t="inlineStr">
        <is>
          <t>Integration</t>
        </is>
      </c>
      <c r="E460" s="10" t="inlineStr">
        <is>
          <t>Ghi truy cập credential</t>
        </is>
      </c>
      <c r="F460" s="10" t="inlineStr">
        <is>
          <t>Worker quét node</t>
        </is>
      </c>
      <c r="G460" s="10" t="inlineStr">
        <is>
          <t>Chạy một chu kỳ</t>
        </is>
      </c>
      <c r="H460" s="10" t="inlineStr">
        <is>
          <t>—</t>
        </is>
      </c>
      <c r="I460" s="10" t="inlineStr">
        <is>
          <t>Mỗi lần đọc credential có một `CREDENTIAL_ACCESSED` kèm `checkId`</t>
        </is>
      </c>
      <c r="J460" s="10" t="inlineStr">
        <is>
          <t>Security</t>
        </is>
      </c>
      <c r="K460" s="10" t="inlineStr">
        <is>
          <t>P1 - Cao</t>
        </is>
      </c>
      <c r="L460" s="10" t="inlineStr">
        <is>
          <t>FR-AUD-002</t>
        </is>
      </c>
      <c r="M460" s="11" t="inlineStr">
        <is>
          <t>Chưa chạy</t>
        </is>
      </c>
      <c r="N460" s="11" t="inlineStr"/>
      <c r="O460" s="11" t="inlineStr"/>
      <c r="P460" s="11" t="inlineStr"/>
    </row>
    <row r="461">
      <c r="A461" s="10" t="n">
        <v>460</v>
      </c>
      <c r="B461" s="10" t="inlineStr">
        <is>
          <t>TC-AUD-INT-006</t>
        </is>
      </c>
      <c r="C461" s="10" t="inlineStr">
        <is>
          <t>Audit</t>
        </is>
      </c>
      <c r="D461" s="10" t="inlineStr">
        <is>
          <t>Integration</t>
        </is>
      </c>
      <c r="E461" s="10" t="inlineStr">
        <is>
          <t>Audit cho hành động xuất dữ liệu</t>
        </is>
      </c>
      <c r="F461" s="10" t="inlineStr">
        <is>
          <t>OPERATOR xuất CSV metric</t>
        </is>
      </c>
      <c r="G461" s="10" t="inlineStr">
        <is>
          <t>—</t>
        </is>
      </c>
      <c r="H461" s="10" t="inlineStr">
        <is>
          <t>—</t>
        </is>
      </c>
      <c r="I461" s="10" t="inlineStr">
        <is>
          <t>Có `METRICS_EXPORTED`</t>
        </is>
      </c>
      <c r="J461" s="10" t="inlineStr">
        <is>
          <t>Integration</t>
        </is>
      </c>
      <c r="K461" s="10" t="inlineStr">
        <is>
          <t>P3 - Thấp</t>
        </is>
      </c>
      <c r="L461" s="10" t="inlineStr">
        <is>
          <t>FR-AUD-001</t>
        </is>
      </c>
      <c r="M461" s="11" t="inlineStr">
        <is>
          <t>Chưa chạy</t>
        </is>
      </c>
      <c r="N461" s="11" t="inlineStr"/>
      <c r="O461" s="11" t="inlineStr"/>
      <c r="P461" s="11" t="inlineStr"/>
    </row>
    <row r="462">
      <c r="A462" s="10" t="n">
        <v>461</v>
      </c>
      <c r="B462" s="10" t="inlineStr">
        <is>
          <t>TC-AUD-INT-007</t>
        </is>
      </c>
      <c r="C462" s="10" t="inlineStr">
        <is>
          <t>Audit</t>
        </is>
      </c>
      <c r="D462" s="10" t="inlineStr">
        <is>
          <t>Integration</t>
        </is>
      </c>
      <c r="E462" s="10" t="inlineStr">
        <is>
          <t>Audit cho hành động hệ thống</t>
        </is>
      </c>
      <c r="F462" s="10" t="inlineStr">
        <is>
          <t>Sự cố tự đóng</t>
        </is>
      </c>
      <c r="G462" s="10" t="inlineStr">
        <is>
          <t>—</t>
        </is>
      </c>
      <c r="H462" s="10" t="inlineStr">
        <is>
          <t>—</t>
        </is>
      </c>
      <c r="I462" s="10" t="inlineStr">
        <is>
          <t>Bản ghi `INCIDENT_AUTO_RESOLVED` với actor `SYSTEM`</t>
        </is>
      </c>
      <c r="J462" s="10" t="inlineStr">
        <is>
          <t>Integration</t>
        </is>
      </c>
      <c r="K462" s="10" t="inlineStr">
        <is>
          <t>P2 - Trung bình</t>
        </is>
      </c>
      <c r="L462" s="10" t="inlineStr">
        <is>
          <t>BR-AUD-005</t>
        </is>
      </c>
      <c r="M462" s="11" t="inlineStr">
        <is>
          <t>Chưa chạy</t>
        </is>
      </c>
      <c r="N462" s="11" t="inlineStr"/>
      <c r="O462" s="11" t="inlineStr"/>
      <c r="P462" s="11" t="inlineStr"/>
    </row>
    <row r="463">
      <c r="A463" s="10" t="n">
        <v>462</v>
      </c>
      <c r="B463" s="10" t="inlineStr">
        <is>
          <t>TC-AUD-INT-008</t>
        </is>
      </c>
      <c r="C463" s="10" t="inlineStr">
        <is>
          <t>Audit</t>
        </is>
      </c>
      <c r="D463" s="10" t="inlineStr">
        <is>
          <t>Integration</t>
        </is>
      </c>
      <c r="E463" s="10" t="inlineStr">
        <is>
          <t>Ghi theo lô</t>
        </is>
      </c>
      <c r="F463" s="10" t="inlineStr">
        <is>
          <t>500 event trong 1 giây</t>
        </is>
      </c>
      <c r="G463" s="10" t="inlineStr">
        <is>
          <t>Publish liên tục</t>
        </is>
      </c>
      <c r="H463" s="10" t="inlineStr">
        <is>
          <t>—</t>
        </is>
      </c>
      <c r="I463" s="10" t="inlineStr">
        <is>
          <t>Ghi theo lô, không mất bản ghi, không dồn queue</t>
        </is>
      </c>
      <c r="J463" s="10" t="inlineStr">
        <is>
          <t>Performance</t>
        </is>
      </c>
      <c r="K463" s="10" t="inlineStr">
        <is>
          <t>P2 - Trung bình</t>
        </is>
      </c>
      <c r="L463" s="10" t="inlineStr">
        <is>
          <t>SRS §9</t>
        </is>
      </c>
      <c r="M463" s="11" t="inlineStr">
        <is>
          <t>Chưa chạy</t>
        </is>
      </c>
      <c r="N463" s="11" t="inlineStr"/>
      <c r="O463" s="11" t="inlineStr"/>
      <c r="P463" s="11" t="inlineStr"/>
    </row>
    <row r="464">
      <c r="A464" s="10" t="n">
        <v>463</v>
      </c>
      <c r="B464" s="10" t="inlineStr">
        <is>
          <t>TC-AUD-INT-009</t>
        </is>
      </c>
      <c r="C464" s="10" t="inlineStr">
        <is>
          <t>Audit</t>
        </is>
      </c>
      <c r="D464" s="10" t="inlineStr">
        <is>
          <t>Integration</t>
        </is>
      </c>
      <c r="E464" s="10" t="inlineStr">
        <is>
          <t>Idempotent</t>
        </is>
      </c>
      <c r="F464" s="10" t="inlineStr">
        <is>
          <t>—</t>
        </is>
      </c>
      <c r="G464" s="10" t="inlineStr">
        <is>
          <t>Publish cùng event 3 lần</t>
        </is>
      </c>
      <c r="H464" s="10" t="inlineStr">
        <is>
          <t>—</t>
        </is>
      </c>
      <c r="I464" s="10" t="inlineStr">
        <is>
          <t>Chỉ một bản ghi audit</t>
        </is>
      </c>
      <c r="J464" s="10" t="inlineStr">
        <is>
          <t>Reliability</t>
        </is>
      </c>
      <c r="K464" s="10" t="inlineStr">
        <is>
          <t>P1 - Cao</t>
        </is>
      </c>
      <c r="L464" s="10" t="inlineStr">
        <is>
          <t>NFR-AVL-003</t>
        </is>
      </c>
      <c r="M464" s="11" t="inlineStr">
        <is>
          <t>Chưa chạy</t>
        </is>
      </c>
      <c r="N464" s="11" t="inlineStr"/>
      <c r="O464" s="11" t="inlineStr"/>
      <c r="P464" s="11" t="inlineStr"/>
    </row>
    <row r="465">
      <c r="A465" s="10" t="n">
        <v>464</v>
      </c>
      <c r="B465" s="10" t="inlineStr">
        <is>
          <t>TC-AUD-INT-010</t>
        </is>
      </c>
      <c r="C465" s="10" t="inlineStr">
        <is>
          <t>Audit</t>
        </is>
      </c>
      <c r="D465" s="10" t="inlineStr">
        <is>
          <t>Integration</t>
        </is>
      </c>
      <c r="E465" s="10" t="inlineStr">
        <is>
          <t>Lỗi audit không ảnh hưởng nghiệp vụ</t>
        </is>
      </c>
      <c r="F465" s="10" t="inlineStr">
        <is>
          <t>Dừng Audit service</t>
        </is>
      </c>
      <c r="G465" s="10" t="inlineStr">
        <is>
          <t>Tạo node</t>
        </is>
      </c>
      <c r="H465" s="10" t="inlineStr">
        <is>
          <t>—</t>
        </is>
      </c>
      <c r="I465" s="10" t="inlineStr">
        <is>
          <t>Node vẫn tạo thành công; message chờ trong queue và được ghi khi Audit trở lại</t>
        </is>
      </c>
      <c r="J465" s="10" t="inlineStr">
        <is>
          <t>Reliability</t>
        </is>
      </c>
      <c r="K465" s="10" t="inlineStr">
        <is>
          <t>P1 - Cao</t>
        </is>
      </c>
      <c r="L465" s="10" t="inlineStr">
        <is>
          <t>BR-AUD-003</t>
        </is>
      </c>
      <c r="M465" s="11" t="inlineStr">
        <is>
          <t>Chưa chạy</t>
        </is>
      </c>
      <c r="N465" s="11" t="inlineStr"/>
      <c r="O465" s="11" t="inlineStr"/>
      <c r="P465" s="11" t="inlineStr"/>
    </row>
    <row r="466">
      <c r="A466" s="10" t="n">
        <v>465</v>
      </c>
      <c r="B466" s="10" t="inlineStr">
        <is>
          <t>TC-AUD-INT-011</t>
        </is>
      </c>
      <c r="C466" s="10" t="inlineStr">
        <is>
          <t>Audit</t>
        </is>
      </c>
      <c r="D466" s="10" t="inlineStr">
        <is>
          <t>Integration</t>
        </is>
      </c>
      <c r="E466" s="10" t="inlineStr">
        <is>
          <t>Chuỗi băm liên tục</t>
        </is>
      </c>
      <c r="F466" s="10" t="inlineStr">
        <is>
          <t>Có ≥ 50 bản ghi</t>
        </is>
      </c>
      <c r="G466" s="10" t="inlineStr">
        <is>
          <t>Kiểm tra `Hash`/`PrevHash`</t>
        </is>
      </c>
      <c r="H466" s="10" t="inlineStr">
        <is>
          <t>—</t>
        </is>
      </c>
      <c r="I466" s="10" t="inlineStr">
        <is>
          <t>Chuỗi liên tục, không đứt</t>
        </is>
      </c>
      <c r="J466" s="10" t="inlineStr">
        <is>
          <t>Security</t>
        </is>
      </c>
      <c r="K466" s="10" t="inlineStr">
        <is>
          <t>P2 - Trung bình</t>
        </is>
      </c>
      <c r="L466" s="10" t="inlineStr">
        <is>
          <t>FR-AUD-008</t>
        </is>
      </c>
      <c r="M466" s="11" t="inlineStr">
        <is>
          <t>Chưa chạy</t>
        </is>
      </c>
      <c r="N466" s="11" t="inlineStr"/>
      <c r="O466" s="11" t="inlineStr"/>
      <c r="P466" s="11" t="inlineStr"/>
    </row>
    <row r="467">
      <c r="A467" s="10" t="n">
        <v>466</v>
      </c>
      <c r="B467" s="10" t="inlineStr">
        <is>
          <t>TC-AUD-INT-012</t>
        </is>
      </c>
      <c r="C467" s="10" t="inlineStr">
        <is>
          <t>Audit</t>
        </is>
      </c>
      <c r="D467" s="10" t="inlineStr">
        <is>
          <t>Integration</t>
        </is>
      </c>
      <c r="E467" s="10" t="inlineStr">
        <is>
          <t>Phát hiện sửa đổi</t>
        </is>
      </c>
      <c r="F467" s="10" t="inlineStr">
        <is>
          <t>Sửa trực tiếp một bản ghi bằng SQL (tài khoản khác)</t>
        </is>
      </c>
      <c r="G467" s="10" t="inlineStr">
        <is>
          <t>`POST /audit-logs/verify`</t>
        </is>
      </c>
      <c r="H467" s="10" t="inlineStr">
        <is>
          <t>—</t>
        </is>
      </c>
      <c r="I467" s="10" t="inlineStr">
        <is>
          <t>Trả `isIntact=false` kèm `brokenAtId`</t>
        </is>
      </c>
      <c r="J467" s="10" t="inlineStr">
        <is>
          <t>Security</t>
        </is>
      </c>
      <c r="K467" s="10" t="inlineStr">
        <is>
          <t>P2 - Trung bình</t>
        </is>
      </c>
      <c r="L467" s="10" t="inlineStr">
        <is>
          <t>FR-AUD-008</t>
        </is>
      </c>
      <c r="M467" s="11" t="inlineStr">
        <is>
          <t>Chưa chạy</t>
        </is>
      </c>
      <c r="N467" s="11" t="inlineStr"/>
      <c r="O467" s="11" t="inlineStr"/>
      <c r="P467" s="11" t="inlineStr"/>
    </row>
    <row r="468">
      <c r="A468" s="10" t="n">
        <v>467</v>
      </c>
      <c r="B468" s="10" t="inlineStr">
        <is>
          <t>TC-AUD-INT-013</t>
        </is>
      </c>
      <c r="C468" s="10" t="inlineStr">
        <is>
          <t>Audit</t>
        </is>
      </c>
      <c r="D468" s="10" t="inlineStr">
        <is>
          <t>Integration</t>
        </is>
      </c>
      <c r="E468" s="10" t="inlineStr">
        <is>
          <t>Quyền SQL chỉ ghi/đọc</t>
        </is>
      </c>
      <c r="F468" s="10" t="inlineStr">
        <is>
          <t>Tài khoản service</t>
        </is>
      </c>
      <c r="G468" s="10" t="inlineStr">
        <is>
          <t>Thử `UPDATE`/`DELETE` trên `AuditEntries`</t>
        </is>
      </c>
      <c r="H468" s="10" t="inlineStr">
        <is>
          <t>—</t>
        </is>
      </c>
      <c r="I468" s="10" t="inlineStr">
        <is>
          <t>Bị CSDL từ chối</t>
        </is>
      </c>
      <c r="J468" s="10" t="inlineStr">
        <is>
          <t>Security</t>
        </is>
      </c>
      <c r="K468" s="10" t="inlineStr">
        <is>
          <t>P1 - Cao</t>
        </is>
      </c>
      <c r="L468" s="10" t="inlineStr">
        <is>
          <t>BR-AUD-001, NFR-SEC-012</t>
        </is>
      </c>
      <c r="M468" s="11" t="inlineStr">
        <is>
          <t>Chưa chạy</t>
        </is>
      </c>
      <c r="N468" s="11" t="inlineStr"/>
      <c r="O468" s="11" t="inlineStr"/>
      <c r="P468" s="11" t="inlineStr"/>
    </row>
    <row r="469">
      <c r="A469" s="10" t="n">
        <v>468</v>
      </c>
      <c r="B469" s="10" t="inlineStr">
        <is>
          <t>TC-AUD-INT-014</t>
        </is>
      </c>
      <c r="C469" s="10" t="inlineStr">
        <is>
          <t>Audit</t>
        </is>
      </c>
      <c r="D469" s="10" t="inlineStr">
        <is>
          <t>Integration</t>
        </is>
      </c>
      <c r="E469" s="10" t="inlineStr">
        <is>
          <t>Retention 365 ngày</t>
        </is>
      </c>
      <c r="F469" s="10" t="inlineStr">
        <is>
          <t>Có dữ liệu 400 ngày</t>
        </is>
      </c>
      <c r="G469" s="10" t="inlineStr">
        <is>
          <t>Chạy job dọn</t>
        </is>
      </c>
      <c r="H469" s="10" t="inlineStr">
        <is>
          <t>—</t>
        </is>
      </c>
      <c r="I469" s="10" t="inlineStr">
        <is>
          <t>Bản ghi &gt; 365 ngày bị xóa theo partition; dữ liệu mới còn nguyên</t>
        </is>
      </c>
      <c r="J469" s="10" t="inlineStr">
        <is>
          <t>Functional</t>
        </is>
      </c>
      <c r="K469" s="10" t="inlineStr">
        <is>
          <t>P2 - Trung bình</t>
        </is>
      </c>
      <c r="L469" s="10" t="inlineStr">
        <is>
          <t>FR-AUD-009</t>
        </is>
      </c>
      <c r="M469" s="11" t="inlineStr">
        <is>
          <t>Chưa chạy</t>
        </is>
      </c>
      <c r="N469" s="11" t="inlineStr"/>
      <c r="O469" s="11" t="inlineStr"/>
      <c r="P469" s="11" t="inlineStr"/>
    </row>
    <row r="470">
      <c r="A470" s="10" t="n">
        <v>469</v>
      </c>
      <c r="B470" s="10" t="inlineStr">
        <is>
          <t>TC-AUD-API-001</t>
        </is>
      </c>
      <c r="C470" s="10" t="inlineStr">
        <is>
          <t>Audit</t>
        </is>
      </c>
      <c r="D470" s="10" t="inlineStr">
        <is>
          <t>API</t>
        </is>
      </c>
      <c r="E470" s="10" t="inlineStr">
        <is>
          <t>Danh sách mặc định 7 ngày</t>
        </is>
      </c>
      <c r="F470" s="10" t="inlineStr">
        <is>
          <t>ADMIN</t>
        </is>
      </c>
      <c r="G470" s="10" t="inlineStr">
        <is>
          <t>`GET /audit-logs`</t>
        </is>
      </c>
      <c r="H470" s="10" t="inlineStr">
        <is>
          <t>—</t>
        </is>
      </c>
      <c r="I470" s="10" t="inlineStr">
        <is>
          <t>200; chỉ dữ liệu 7 ngày gần nhất, mới nhất trước</t>
        </is>
      </c>
      <c r="J470" s="10" t="inlineStr">
        <is>
          <t>Functional</t>
        </is>
      </c>
      <c r="K470" s="10" t="inlineStr">
        <is>
          <t>P1 - Cao</t>
        </is>
      </c>
      <c r="L470" s="10" t="inlineStr">
        <is>
          <t>FR-AUD-005</t>
        </is>
      </c>
      <c r="M470" s="11" t="inlineStr">
        <is>
          <t>Chưa chạy</t>
        </is>
      </c>
      <c r="N470" s="11" t="inlineStr"/>
      <c r="O470" s="11" t="inlineStr"/>
      <c r="P470" s="11" t="inlineStr"/>
    </row>
    <row r="471">
      <c r="A471" s="10" t="n">
        <v>470</v>
      </c>
      <c r="B471" s="10" t="inlineStr">
        <is>
          <t>TC-AUD-API-002</t>
        </is>
      </c>
      <c r="C471" s="10" t="inlineStr">
        <is>
          <t>Audit</t>
        </is>
      </c>
      <c r="D471" s="10" t="inlineStr">
        <is>
          <t>API</t>
        </is>
      </c>
      <c r="E471" s="10" t="inlineStr">
        <is>
          <t>Lọc theo hành động</t>
        </is>
      </c>
      <c r="F471" s="10" t="inlineStr">
        <is>
          <t>—</t>
        </is>
      </c>
      <c r="G471" s="10" t="inlineStr">
        <is>
          <t>`?action=NODE_DELETED`</t>
        </is>
      </c>
      <c r="H471" s="10" t="inlineStr">
        <is>
          <t>—</t>
        </is>
      </c>
      <c r="I471" s="10" t="inlineStr">
        <is>
          <t>Chỉ bản ghi đúng loại</t>
        </is>
      </c>
      <c r="J471" s="10" t="inlineStr">
        <is>
          <t>Functional</t>
        </is>
      </c>
      <c r="K471" s="10" t="inlineStr">
        <is>
          <t>P2 - Trung bình</t>
        </is>
      </c>
      <c r="L471" s="10" t="inlineStr">
        <is>
          <t>FR-AUD-005</t>
        </is>
      </c>
      <c r="M471" s="11" t="inlineStr">
        <is>
          <t>Chưa chạy</t>
        </is>
      </c>
      <c r="N471" s="11" t="inlineStr"/>
      <c r="O471" s="11" t="inlineStr"/>
      <c r="P471" s="11" t="inlineStr"/>
    </row>
    <row r="472">
      <c r="A472" s="10" t="n">
        <v>471</v>
      </c>
      <c r="B472" s="10" t="inlineStr">
        <is>
          <t>TC-AUD-API-003</t>
        </is>
      </c>
      <c r="C472" s="10" t="inlineStr">
        <is>
          <t>Audit</t>
        </is>
      </c>
      <c r="D472" s="10" t="inlineStr">
        <is>
          <t>API</t>
        </is>
      </c>
      <c r="E472" s="10" t="inlineStr">
        <is>
          <t>Lọc theo người thực hiện</t>
        </is>
      </c>
      <c r="F472" s="10" t="inlineStr">
        <is>
          <t>—</t>
        </is>
      </c>
      <c r="G472" s="10" t="inlineStr">
        <is>
          <t>`?actorId=…`</t>
        </is>
      </c>
      <c r="H472" s="10" t="inlineStr">
        <is>
          <t>—</t>
        </is>
      </c>
      <c r="I472" s="10" t="inlineStr">
        <is>
          <t>Chỉ bản ghi của người đó</t>
        </is>
      </c>
      <c r="J472" s="10" t="inlineStr">
        <is>
          <t>Functional</t>
        </is>
      </c>
      <c r="K472" s="10" t="inlineStr">
        <is>
          <t>P2 - Trung bình</t>
        </is>
      </c>
      <c r="L472" s="10" t="inlineStr">
        <is>
          <t>FR-AUD-005</t>
        </is>
      </c>
      <c r="M472" s="11" t="inlineStr">
        <is>
          <t>Chưa chạy</t>
        </is>
      </c>
      <c r="N472" s="11" t="inlineStr"/>
      <c r="O472" s="11" t="inlineStr"/>
      <c r="P472" s="11" t="inlineStr"/>
    </row>
    <row r="473">
      <c r="A473" s="10" t="n">
        <v>472</v>
      </c>
      <c r="B473" s="10" t="inlineStr">
        <is>
          <t>TC-AUD-API-004</t>
        </is>
      </c>
      <c r="C473" s="10" t="inlineStr">
        <is>
          <t>Audit</t>
        </is>
      </c>
      <c r="D473" s="10" t="inlineStr">
        <is>
          <t>API</t>
        </is>
      </c>
      <c r="E473" s="10" t="inlineStr">
        <is>
          <t>Tìm theo từ khóa</t>
        </is>
      </c>
      <c r="F473" s="10" t="inlineStr">
        <is>
          <t>—</t>
        </is>
      </c>
      <c r="G473" s="10" t="inlineStr">
        <is>
          <t>`?search=prod-web-01`</t>
        </is>
      </c>
      <c r="H473" s="10" t="inlineStr">
        <is>
          <t>—</t>
        </is>
      </c>
      <c r="I473" s="10" t="inlineStr">
        <is>
          <t>Kết quả khớp trong `summary`</t>
        </is>
      </c>
      <c r="J473" s="10" t="inlineStr">
        <is>
          <t>Functional</t>
        </is>
      </c>
      <c r="K473" s="10" t="inlineStr">
        <is>
          <t>P3 - Thấp</t>
        </is>
      </c>
      <c r="L473" s="10" t="inlineStr">
        <is>
          <t>FR-AUD-005</t>
        </is>
      </c>
      <c r="M473" s="11" t="inlineStr">
        <is>
          <t>Chưa chạy</t>
        </is>
      </c>
      <c r="N473" s="11" t="inlineStr"/>
      <c r="O473" s="11" t="inlineStr"/>
      <c r="P473" s="11" t="inlineStr"/>
    </row>
    <row r="474">
      <c r="A474" s="10" t="n">
        <v>473</v>
      </c>
      <c r="B474" s="10" t="inlineStr">
        <is>
          <t>TC-AUD-API-005</t>
        </is>
      </c>
      <c r="C474" s="10" t="inlineStr">
        <is>
          <t>Audit</t>
        </is>
      </c>
      <c r="D474" s="10" t="inlineStr">
        <is>
          <t>API</t>
        </is>
      </c>
      <c r="E474" s="10" t="inlineStr">
        <is>
          <t>Khoảng &gt; 90 ngày</t>
        </is>
      </c>
      <c r="F474" s="10" t="inlineStr">
        <is>
          <t>—</t>
        </is>
      </c>
      <c r="G474" s="10" t="inlineStr">
        <is>
          <t>`?from=…&amp;to=…` cách 120 ngày</t>
        </is>
      </c>
      <c r="H474" s="10" t="inlineStr">
        <is>
          <t>—</t>
        </is>
      </c>
      <c r="I474" s="10" t="inlineStr">
        <is>
          <t>400</t>
        </is>
      </c>
      <c r="J474" s="10" t="inlineStr">
        <is>
          <t>Validation</t>
        </is>
      </c>
      <c r="K474" s="10" t="inlineStr">
        <is>
          <t>P2 - Trung bình</t>
        </is>
      </c>
      <c r="L474" s="10" t="inlineStr">
        <is>
          <t>SRS §6</t>
        </is>
      </c>
      <c r="M474" s="11" t="inlineStr">
        <is>
          <t>Chưa chạy</t>
        </is>
      </c>
      <c r="N474" s="11" t="inlineStr"/>
      <c r="O474" s="11" t="inlineStr"/>
      <c r="P474" s="11" t="inlineStr"/>
    </row>
    <row r="475">
      <c r="A475" s="10" t="n">
        <v>474</v>
      </c>
      <c r="B475" s="10" t="inlineStr">
        <is>
          <t>TC-AUD-API-006</t>
        </is>
      </c>
      <c r="C475" s="10" t="inlineStr">
        <is>
          <t>Audit</t>
        </is>
      </c>
      <c r="D475" s="10" t="inlineStr">
        <is>
          <t>API</t>
        </is>
      </c>
      <c r="E475" s="10" t="inlineStr">
        <is>
          <t>Chi tiết có diff</t>
        </is>
      </c>
      <c r="F475" s="10" t="inlineStr">
        <is>
          <t>Có bản ghi sửa</t>
        </is>
      </c>
      <c r="G475" s="10" t="inlineStr">
        <is>
          <t>`GET /audit-logs/{id}`</t>
        </is>
      </c>
      <c r="H475" s="10" t="inlineStr">
        <is>
          <t>—</t>
        </is>
      </c>
      <c r="I475" s="10" t="inlineStr">
        <is>
          <t>200 với `before`/`after`</t>
        </is>
      </c>
      <c r="J475" s="10" t="inlineStr">
        <is>
          <t>Functional</t>
        </is>
      </c>
      <c r="K475" s="10" t="inlineStr">
        <is>
          <t>P1 - Cao</t>
        </is>
      </c>
      <c r="L475" s="10" t="inlineStr">
        <is>
          <t>FR-AUD-006</t>
        </is>
      </c>
      <c r="M475" s="11" t="inlineStr">
        <is>
          <t>Chưa chạy</t>
        </is>
      </c>
      <c r="N475" s="11" t="inlineStr"/>
      <c r="O475" s="11" t="inlineStr"/>
      <c r="P475" s="11" t="inlineStr"/>
    </row>
    <row r="476">
      <c r="A476" s="10" t="n">
        <v>475</v>
      </c>
      <c r="B476" s="10" t="inlineStr">
        <is>
          <t>TC-AUD-API-007</t>
        </is>
      </c>
      <c r="C476" s="10" t="inlineStr">
        <is>
          <t>Audit</t>
        </is>
      </c>
      <c r="D476" s="10" t="inlineStr">
        <is>
          <t>API</t>
        </is>
      </c>
      <c r="E476" s="10" t="inlineStr">
        <is>
          <t>Dòng thời gian đối tượng</t>
        </is>
      </c>
      <c r="F476" s="10" t="inlineStr">
        <is>
          <t>Node có 5 thao tác</t>
        </is>
      </c>
      <c r="G476" s="10" t="inlineStr">
        <is>
          <t>`GET /audit-logs/entity/Node/{id}`</t>
        </is>
      </c>
      <c r="H476" s="10" t="inlineStr">
        <is>
          <t>—</t>
        </is>
      </c>
      <c r="I476" s="10" t="inlineStr">
        <is>
          <t>5 bản ghi theo thứ tự thời gian</t>
        </is>
      </c>
      <c r="J476" s="10" t="inlineStr">
        <is>
          <t>Functional</t>
        </is>
      </c>
      <c r="K476" s="10" t="inlineStr">
        <is>
          <t>P2 - Trung bình</t>
        </is>
      </c>
      <c r="L476" s="10" t="inlineStr">
        <is>
          <t>FR-AUD-010</t>
        </is>
      </c>
      <c r="M476" s="11" t="inlineStr">
        <is>
          <t>Chưa chạy</t>
        </is>
      </c>
      <c r="N476" s="11" t="inlineStr"/>
      <c r="O476" s="11" t="inlineStr"/>
      <c r="P476" s="11" t="inlineStr"/>
    </row>
    <row r="477">
      <c r="A477" s="10" t="n">
        <v>476</v>
      </c>
      <c r="B477" s="10" t="inlineStr">
        <is>
          <t>TC-AUD-API-008</t>
        </is>
      </c>
      <c r="C477" s="10" t="inlineStr">
        <is>
          <t>Audit</t>
        </is>
      </c>
      <c r="D477" s="10" t="inlineStr">
        <is>
          <t>API</t>
        </is>
      </c>
      <c r="E477" s="10" t="inlineStr">
        <is>
          <t>Truy vết theo correlationId</t>
        </is>
      </c>
      <c r="F477" s="10" t="inlineStr">
        <is>
          <t>Một thao tác qua nhiều service</t>
        </is>
      </c>
      <c r="G477" s="10" t="inlineStr">
        <is>
          <t>`?search={correlationId}`</t>
        </is>
      </c>
      <c r="H477" s="10" t="inlineStr">
        <is>
          <t>—</t>
        </is>
      </c>
      <c r="I477" s="10" t="inlineStr">
        <is>
          <t>Trả đủ các bản ghi cùng chuỗi</t>
        </is>
      </c>
      <c r="J477" s="10" t="inlineStr">
        <is>
          <t>Integration</t>
        </is>
      </c>
      <c r="K477" s="10" t="inlineStr">
        <is>
          <t>P2 - Trung bình</t>
        </is>
      </c>
      <c r="L477" s="10" t="inlineStr">
        <is>
          <t>NFR-OBS-001</t>
        </is>
      </c>
      <c r="M477" s="11" t="inlineStr">
        <is>
          <t>Chưa chạy</t>
        </is>
      </c>
      <c r="N477" s="11" t="inlineStr"/>
      <c r="O477" s="11" t="inlineStr"/>
      <c r="P477" s="11" t="inlineStr"/>
    </row>
    <row r="478">
      <c r="A478" s="10" t="n">
        <v>477</v>
      </c>
      <c r="B478" s="10" t="inlineStr">
        <is>
          <t>TC-AUD-API-009</t>
        </is>
      </c>
      <c r="C478" s="10" t="inlineStr">
        <is>
          <t>Audit</t>
        </is>
      </c>
      <c r="D478" s="10" t="inlineStr">
        <is>
          <t>API</t>
        </is>
      </c>
      <c r="E478" s="10" t="inlineStr">
        <is>
          <t>Xuất CSV</t>
        </is>
      </c>
      <c r="F478" s="10" t="inlineStr">
        <is>
          <t>ADMIN</t>
        </is>
      </c>
      <c r="G478" s="10" t="inlineStr">
        <is>
          <t>`GET /audit-logs/export`</t>
        </is>
      </c>
      <c r="H478" s="10" t="inlineStr">
        <is>
          <t>—</t>
        </is>
      </c>
      <c r="I478" s="10" t="inlineStr">
        <is>
          <t>200 CSV; tạo bản ghi `AUDIT_EXPORTED`</t>
        </is>
      </c>
      <c r="J478" s="10" t="inlineStr">
        <is>
          <t>Functional</t>
        </is>
      </c>
      <c r="K478" s="10" t="inlineStr">
        <is>
          <t>P3 - Thấp</t>
        </is>
      </c>
      <c r="L478" s="10" t="inlineStr">
        <is>
          <t>FR-AUD-007</t>
        </is>
      </c>
      <c r="M478" s="11" t="inlineStr">
        <is>
          <t>Chưa chạy</t>
        </is>
      </c>
      <c r="N478" s="11" t="inlineStr"/>
      <c r="O478" s="11" t="inlineStr"/>
      <c r="P478" s="11" t="inlineStr"/>
    </row>
    <row r="479">
      <c r="A479" s="10" t="n">
        <v>478</v>
      </c>
      <c r="B479" s="10" t="inlineStr">
        <is>
          <t>TC-AUD-API-010</t>
        </is>
      </c>
      <c r="C479" s="10" t="inlineStr">
        <is>
          <t>Audit</t>
        </is>
      </c>
      <c r="D479" s="10" t="inlineStr">
        <is>
          <t>API</t>
        </is>
      </c>
      <c r="E479" s="10" t="inlineStr">
        <is>
          <t>OPERATOR truy cập</t>
        </is>
      </c>
      <c r="F479" s="10" t="inlineStr">
        <is>
          <t>OPERATOR</t>
        </is>
      </c>
      <c r="G479" s="10" t="inlineStr">
        <is>
          <t>`GET /audit-logs`</t>
        </is>
      </c>
      <c r="H479" s="10" t="inlineStr">
        <is>
          <t>—</t>
        </is>
      </c>
      <c r="I479" s="10" t="inlineStr">
        <is>
          <t>403</t>
        </is>
      </c>
      <c r="J479" s="10" t="inlineStr">
        <is>
          <t>Security</t>
        </is>
      </c>
      <c r="K479" s="10" t="inlineStr">
        <is>
          <t>P1 - Cao</t>
        </is>
      </c>
      <c r="L479" s="10" t="inlineStr">
        <is>
          <t>BR-AUD-002</t>
        </is>
      </c>
      <c r="M479" s="11" t="inlineStr">
        <is>
          <t>Chưa chạy</t>
        </is>
      </c>
      <c r="N479" s="11" t="inlineStr"/>
      <c r="O479" s="11" t="inlineStr"/>
      <c r="P479" s="11" t="inlineStr"/>
    </row>
    <row r="480">
      <c r="A480" s="10" t="n">
        <v>479</v>
      </c>
      <c r="B480" s="10" t="inlineStr">
        <is>
          <t>TC-AUD-API-011</t>
        </is>
      </c>
      <c r="C480" s="10" t="inlineStr">
        <is>
          <t>Audit</t>
        </is>
      </c>
      <c r="D480" s="10" t="inlineStr">
        <is>
          <t>API</t>
        </is>
      </c>
      <c r="E480" s="10" t="inlineStr">
        <is>
          <t>VIEWER truy cập</t>
        </is>
      </c>
      <c r="F480" s="10" t="inlineStr">
        <is>
          <t>VIEWER</t>
        </is>
      </c>
      <c r="G480" s="10" t="inlineStr">
        <is>
          <t>`GET /audit-logs`</t>
        </is>
      </c>
      <c r="H480" s="10" t="inlineStr">
        <is>
          <t>—</t>
        </is>
      </c>
      <c r="I480" s="10" t="inlineStr">
        <is>
          <t>403</t>
        </is>
      </c>
      <c r="J480" s="10" t="inlineStr">
        <is>
          <t>Security</t>
        </is>
      </c>
      <c r="K480" s="10" t="inlineStr">
        <is>
          <t>P1 - Cao</t>
        </is>
      </c>
      <c r="L480" s="10" t="inlineStr">
        <is>
          <t>BR-AUD-002</t>
        </is>
      </c>
      <c r="M480" s="11" t="inlineStr">
        <is>
          <t>Chưa chạy</t>
        </is>
      </c>
      <c r="N480" s="11" t="inlineStr"/>
      <c r="O480" s="11" t="inlineStr"/>
      <c r="P480" s="11" t="inlineStr"/>
    </row>
    <row r="481">
      <c r="A481" s="10" t="n">
        <v>480</v>
      </c>
      <c r="B481" s="10" t="inlineStr">
        <is>
          <t>TC-AUD-API-012</t>
        </is>
      </c>
      <c r="C481" s="10" t="inlineStr">
        <is>
          <t>Audit</t>
        </is>
      </c>
      <c r="D481" s="10" t="inlineStr">
        <is>
          <t>API</t>
        </is>
      </c>
      <c r="E481" s="10" t="inlineStr">
        <is>
          <t>Ghi audit cho chính việc tra cứu</t>
        </is>
      </c>
      <c r="F481" s="10" t="inlineStr">
        <is>
          <t>ADMIN</t>
        </is>
      </c>
      <c r="G481" s="10" t="inlineStr">
        <is>
          <t>Tra cứu nhật ký</t>
        </is>
      </c>
      <c r="H481" s="10" t="inlineStr">
        <is>
          <t>—</t>
        </is>
      </c>
      <c r="I481" s="10" t="inlineStr">
        <is>
          <t>Có bản ghi cho hành động tra cứu/xuất</t>
        </is>
      </c>
      <c r="J481" s="10" t="inlineStr">
        <is>
          <t>Security</t>
        </is>
      </c>
      <c r="K481" s="10" t="inlineStr">
        <is>
          <t>P3 - Thấp</t>
        </is>
      </c>
      <c r="L481" s="10" t="inlineStr">
        <is>
          <t>BR-AUD-002</t>
        </is>
      </c>
      <c r="M481" s="11" t="inlineStr">
        <is>
          <t>Chưa chạy</t>
        </is>
      </c>
      <c r="N481" s="11" t="inlineStr"/>
      <c r="O481" s="11" t="inlineStr"/>
      <c r="P481" s="11" t="inlineStr"/>
    </row>
    <row r="482">
      <c r="A482" s="10" t="n">
        <v>481</v>
      </c>
      <c r="B482" s="10" t="inlineStr">
        <is>
          <t>TC-AUD-PERF-001</t>
        </is>
      </c>
      <c r="C482" s="10" t="inlineStr">
        <is>
          <t>Audit</t>
        </is>
      </c>
      <c r="D482" s="10" t="inlineStr">
        <is>
          <t>Performance</t>
        </is>
      </c>
      <c r="E482" s="10" t="inlineStr">
        <is>
          <t>Truy vấn 7 ngày với 1 triệu bản ghi</t>
        </is>
      </c>
      <c r="F482" s="10" t="inlineStr">
        <is>
          <t>Dữ liệu lớn</t>
        </is>
      </c>
      <c r="G482" s="10" t="inlineStr">
        <is>
          <t>k6</t>
        </is>
      </c>
      <c r="H482" s="10" t="inlineStr">
        <is>
          <t>—</t>
        </is>
      </c>
      <c r="I482" s="10" t="inlineStr">
        <is>
          <t>p95 ≤ 400 ms</t>
        </is>
      </c>
      <c r="J482" s="10" t="inlineStr">
        <is>
          <t>Performance</t>
        </is>
      </c>
      <c r="K482" s="10" t="inlineStr">
        <is>
          <t>P2 - Trung bình</t>
        </is>
      </c>
      <c r="L482" s="10" t="inlineStr">
        <is>
          <t>SRS §9</t>
        </is>
      </c>
      <c r="M482" s="11" t="inlineStr">
        <is>
          <t>Chưa chạy</t>
        </is>
      </c>
      <c r="N482" s="11" t="inlineStr"/>
      <c r="O482" s="11" t="inlineStr"/>
      <c r="P482" s="11" t="inlineStr"/>
    </row>
    <row r="483">
      <c r="A483" s="10" t="n">
        <v>482</v>
      </c>
      <c r="B483" s="10" t="inlineStr">
        <is>
          <t>TC-AUD-E2E-001</t>
        </is>
      </c>
      <c r="C483" s="10" t="inlineStr">
        <is>
          <t>Audit</t>
        </is>
      </c>
      <c r="D483" s="10" t="inlineStr">
        <is>
          <t>E2E (UI)</t>
        </is>
      </c>
      <c r="E483" s="10" t="inlineStr">
        <is>
          <t>Bảng nhật ký</t>
        </is>
      </c>
      <c r="F483" s="10" t="inlineStr">
        <is>
          <t>ADMIN</t>
        </is>
      </c>
      <c r="G483" s="10" t="inlineStr">
        <is>
          <t>Mở `/app/audit-logs`</t>
        </is>
      </c>
      <c r="H483" s="10" t="inlineStr">
        <is>
          <t>—</t>
        </is>
      </c>
      <c r="I483" s="10" t="inlineStr">
        <is>
          <t>Hiển thị thời gian (địa phương + tương đối), người thực hiện, hành động dạng badge, đối tượng, kết quả</t>
        </is>
      </c>
      <c r="J483" s="10" t="inlineStr">
        <is>
          <t>UI/UX</t>
        </is>
      </c>
      <c r="K483" s="10" t="inlineStr">
        <is>
          <t>P1 - Cao</t>
        </is>
      </c>
      <c r="L483" s="10" t="inlineStr">
        <is>
          <t>FR-AUD-FE-001</t>
        </is>
      </c>
      <c r="M483" s="11" t="inlineStr">
        <is>
          <t>Chưa chạy</t>
        </is>
      </c>
      <c r="N483" s="11" t="inlineStr"/>
      <c r="O483" s="11" t="inlineStr"/>
      <c r="P483" s="11" t="inlineStr"/>
    </row>
    <row r="484">
      <c r="A484" s="10" t="n">
        <v>483</v>
      </c>
      <c r="B484" s="10" t="inlineStr">
        <is>
          <t>TC-AUD-E2E-002</t>
        </is>
      </c>
      <c r="C484" s="10" t="inlineStr">
        <is>
          <t>Audit</t>
        </is>
      </c>
      <c r="D484" s="10" t="inlineStr">
        <is>
          <t>E2E (UI)</t>
        </is>
      </c>
      <c r="E484" s="10" t="inlineStr">
        <is>
          <t>Bộ lọc lưu URL</t>
        </is>
      </c>
      <c r="F484" s="10" t="inlineStr">
        <is>
          <t>—</t>
        </is>
      </c>
      <c r="G484" s="10" t="inlineStr">
        <is>
          <t>Lọc rồi sao chép URL sang tab mới</t>
        </is>
      </c>
      <c r="H484" s="10" t="inlineStr">
        <is>
          <t>—</t>
        </is>
      </c>
      <c r="I484" s="10" t="inlineStr">
        <is>
          <t>Bộ lọc được khôi phục</t>
        </is>
      </c>
      <c r="J484" s="10" t="inlineStr">
        <is>
          <t>UI/UX</t>
        </is>
      </c>
      <c r="K484" s="10" t="inlineStr">
        <is>
          <t>P3 - Thấp</t>
        </is>
      </c>
      <c r="L484" s="10" t="inlineStr">
        <is>
          <t>FR-AUD-FE-002</t>
        </is>
      </c>
      <c r="M484" s="11" t="inlineStr">
        <is>
          <t>Chưa chạy</t>
        </is>
      </c>
      <c r="N484" s="11" t="inlineStr"/>
      <c r="O484" s="11" t="inlineStr"/>
      <c r="P484" s="11" t="inlineStr"/>
    </row>
    <row r="485">
      <c r="A485" s="10" t="n">
        <v>484</v>
      </c>
      <c r="B485" s="10" t="inlineStr">
        <is>
          <t>TC-AUD-E2E-003</t>
        </is>
      </c>
      <c r="C485" s="10" t="inlineStr">
        <is>
          <t>Audit</t>
        </is>
      </c>
      <c r="D485" s="10" t="inlineStr">
        <is>
          <t>E2E (UI)</t>
        </is>
      </c>
      <c r="E485" s="10" t="inlineStr">
        <is>
          <t>Xem diff</t>
        </is>
      </c>
      <c r="F485" s="10" t="inlineStr">
        <is>
          <t>Có bản ghi sửa</t>
        </is>
      </c>
      <c r="G485" s="10" t="inlineStr">
        <is>
          <t>Mở chi tiết</t>
        </is>
      </c>
      <c r="H485" s="10" t="inlineStr">
        <is>
          <t>—</t>
        </is>
      </c>
      <c r="I485" s="10" t="inlineStr">
        <is>
          <t>Hai cột trước/sau, tô sáng trường đổi, trường nhạy cảm hiện `*`</t>
        </is>
      </c>
      <c r="J485" s="10" t="inlineStr">
        <is>
          <t>UI/UX</t>
        </is>
      </c>
      <c r="K485" s="10" t="inlineStr">
        <is>
          <t>P1 - Cao</t>
        </is>
      </c>
      <c r="L485" s="10" t="inlineStr">
        <is>
          <t>FR-AUD-FE-004</t>
        </is>
      </c>
      <c r="M485" s="11" t="inlineStr">
        <is>
          <t>Chưa chạy</t>
        </is>
      </c>
      <c r="N485" s="11" t="inlineStr"/>
      <c r="O485" s="11" t="inlineStr"/>
      <c r="P485" s="11" t="inlineStr"/>
    </row>
    <row r="486">
      <c r="A486" s="10" t="n">
        <v>485</v>
      </c>
      <c r="B486" s="10" t="inlineStr">
        <is>
          <t>TC-AUD-E2E-004</t>
        </is>
      </c>
      <c r="C486" s="10" t="inlineStr">
        <is>
          <t>Audit</t>
        </is>
      </c>
      <c r="D486" s="10" t="inlineStr">
        <is>
          <t>E2E (UI)</t>
        </is>
      </c>
      <c r="E486" s="10" t="inlineStr">
        <is>
          <t>Virtualization &amp; phân trang</t>
        </is>
      </c>
      <c r="F486" s="10" t="inlineStr">
        <is>
          <t>10.000 bản ghi</t>
        </is>
      </c>
      <c r="G486" s="10" t="inlineStr">
        <is>
          <t>Cuộn danh sách</t>
        </is>
      </c>
      <c r="H486" s="10" t="inlineStr">
        <is>
          <t>—</t>
        </is>
      </c>
      <c r="I486" s="10" t="inlineStr">
        <is>
          <t>DOM giữ số hàng nhỏ; không tải toàn bộ dữ liệu</t>
        </is>
      </c>
      <c r="J486" s="10" t="inlineStr">
        <is>
          <t>Performance</t>
        </is>
      </c>
      <c r="K486" s="10" t="inlineStr">
        <is>
          <t>P2 - Trung bình</t>
        </is>
      </c>
      <c r="L486" s="10" t="inlineStr">
        <is>
          <t>FR-AUD-FE-003</t>
        </is>
      </c>
      <c r="M486" s="11" t="inlineStr">
        <is>
          <t>Chưa chạy</t>
        </is>
      </c>
      <c r="N486" s="11" t="inlineStr"/>
      <c r="O486" s="11" t="inlineStr"/>
      <c r="P486" s="11" t="inlineStr"/>
    </row>
    <row r="487">
      <c r="A487" s="10" t="n">
        <v>486</v>
      </c>
      <c r="B487" s="10" t="inlineStr">
        <is>
          <t>TC-AUD-E2E-005</t>
        </is>
      </c>
      <c r="C487" s="10" t="inlineStr">
        <is>
          <t>Audit</t>
        </is>
      </c>
      <c r="D487" s="10" t="inlineStr">
        <is>
          <t>E2E (UI)</t>
        </is>
      </c>
      <c r="E487" s="10" t="inlineStr">
        <is>
          <t>Không có mục menu với vai trò thấp</t>
        </is>
      </c>
      <c r="F487" s="10" t="inlineStr">
        <is>
          <t>VIEWER</t>
        </is>
      </c>
      <c r="G487" s="10" t="inlineStr">
        <is>
          <t>Xem sidebar</t>
        </is>
      </c>
      <c r="H487" s="10" t="inlineStr">
        <is>
          <t>—</t>
        </is>
      </c>
      <c r="I487" s="10" t="inlineStr">
        <is>
          <t>Không thấy “Nhật ký kiểm toán”; mở URL trực tiếp thì bị chặn</t>
        </is>
      </c>
      <c r="J487" s="10" t="inlineStr">
        <is>
          <t>Security</t>
        </is>
      </c>
      <c r="K487" s="10" t="inlineStr">
        <is>
          <t>P1 - Cao</t>
        </is>
      </c>
      <c r="L487" s="10" t="inlineStr">
        <is>
          <t>FR-AUD-FE-006</t>
        </is>
      </c>
      <c r="M487" s="11" t="inlineStr">
        <is>
          <t>Chưa chạy</t>
        </is>
      </c>
      <c r="N487" s="11" t="inlineStr"/>
      <c r="O487" s="11" t="inlineStr"/>
      <c r="P487" s="11" t="inlineStr"/>
    </row>
    <row r="488">
      <c r="A488" s="10" t="n">
        <v>487</v>
      </c>
      <c r="B488" s="10" t="inlineStr">
        <is>
          <t>TC-AUD-E2E-006</t>
        </is>
      </c>
      <c r="C488" s="10" t="inlineStr">
        <is>
          <t>Audit</t>
        </is>
      </c>
      <c r="D488" s="10" t="inlineStr">
        <is>
          <t>E2E (UI)</t>
        </is>
      </c>
      <c r="E488" s="10" t="inlineStr">
        <is>
          <t>Không còn audit phía client</t>
        </is>
      </c>
      <c r="F488" s="10" t="inlineStr">
        <is>
          <t>—</t>
        </is>
      </c>
      <c r="G488" s="10" t="inlineStr">
        <is>
          <t>Kiểm tra `localStorage`</t>
        </is>
      </c>
      <c r="H488" s="10" t="inlineStr">
        <is>
          <t>—</t>
        </is>
      </c>
      <c r="I488" s="10" t="inlineStr">
        <is>
          <t>Không có khóa `soe_audit_logs` (đã bỏ cơ chế mock v1)</t>
        </is>
      </c>
      <c r="J488" s="10" t="inlineStr">
        <is>
          <t>Regression</t>
        </is>
      </c>
      <c r="K488" s="10" t="inlineStr">
        <is>
          <t>P2 - Trung bình</t>
        </is>
      </c>
      <c r="L488" s="10" t="inlineStr">
        <is>
          <t>FR-AUD-FE-007</t>
        </is>
      </c>
      <c r="M488" s="11" t="inlineStr">
        <is>
          <t>Chưa chạy</t>
        </is>
      </c>
      <c r="N488" s="11" t="inlineStr"/>
      <c r="O488" s="11" t="inlineStr"/>
      <c r="P488" s="11" t="inlineStr"/>
    </row>
    <row r="489">
      <c r="A489" s="10" t="n">
        <v>488</v>
      </c>
      <c r="B489" s="10" t="inlineStr">
        <is>
          <t>TC-GW-API-001</t>
        </is>
      </c>
      <c r="C489" s="10" t="inlineStr">
        <is>
          <t>Gateway &amp; Config</t>
        </is>
      </c>
      <c r="D489" s="10" t="inlineStr">
        <is>
          <t>API — Định tuyến &amp; hạ tầng</t>
        </is>
      </c>
      <c r="E489" s="10" t="inlineStr">
        <is>
          <t>Định tuyến đúng service</t>
        </is>
      </c>
      <c r="F489" s="10" t="inlineStr">
        <is>
          <t>Hệ thống chạy</t>
        </is>
      </c>
      <c r="G489" s="10" t="inlineStr">
        <is>
          <t>Gọi `/api/v1/nodes`, `/api/v1/incidents`, `/api/v1/users`</t>
        </is>
      </c>
      <c r="H489" s="10" t="inlineStr">
        <is>
          <t>—</t>
        </is>
      </c>
      <c r="I489" s="10" t="inlineStr">
        <is>
          <t>Mỗi request tới đúng service, trả 200</t>
        </is>
      </c>
      <c r="J489" s="10" t="inlineStr">
        <is>
          <t>Functional</t>
        </is>
      </c>
      <c r="K489" s="10" t="inlineStr">
        <is>
          <t>P1 - Cao</t>
        </is>
      </c>
      <c r="L489" s="10" t="inlineStr">
        <is>
          <t>FR-GW-001</t>
        </is>
      </c>
      <c r="M489" s="11" t="inlineStr">
        <is>
          <t>Chưa chạy</t>
        </is>
      </c>
      <c r="N489" s="11" t="inlineStr"/>
      <c r="O489" s="11" t="inlineStr"/>
      <c r="P489" s="11" t="inlineStr"/>
    </row>
    <row r="490">
      <c r="A490" s="10" t="n">
        <v>489</v>
      </c>
      <c r="B490" s="10" t="inlineStr">
        <is>
          <t>TC-GW-API-002</t>
        </is>
      </c>
      <c r="C490" s="10" t="inlineStr">
        <is>
          <t>Gateway &amp; Config</t>
        </is>
      </c>
      <c r="D490" s="10" t="inlineStr">
        <is>
          <t>API — Định tuyến &amp; hạ tầng</t>
        </is>
      </c>
      <c r="E490" s="10" t="inlineStr">
        <is>
          <t>Route không khai báo</t>
        </is>
      </c>
      <c r="F490" s="10" t="inlineStr">
        <is>
          <t>—</t>
        </is>
      </c>
      <c r="G490" s="10" t="inlineStr">
        <is>
          <t>`GET /api/v1/khong-ton-tai`</t>
        </is>
      </c>
      <c r="H490" s="10" t="inlineStr">
        <is>
          <t>—</t>
        </is>
      </c>
      <c r="I490" s="10" t="inlineStr">
        <is>
          <t>404, không lộ tên service nội bộ</t>
        </is>
      </c>
      <c r="J490" s="10" t="inlineStr">
        <is>
          <t>Security</t>
        </is>
      </c>
      <c r="K490" s="10" t="inlineStr">
        <is>
          <t>P1 - Cao</t>
        </is>
      </c>
      <c r="L490" s="10" t="inlineStr">
        <is>
          <t>FR-GW-001</t>
        </is>
      </c>
      <c r="M490" s="11" t="inlineStr">
        <is>
          <t>Chưa chạy</t>
        </is>
      </c>
      <c r="N490" s="11" t="inlineStr"/>
      <c r="O490" s="11" t="inlineStr"/>
      <c r="P490" s="11" t="inlineStr"/>
    </row>
    <row r="491">
      <c r="A491" s="10" t="n">
        <v>490</v>
      </c>
      <c r="B491" s="10" t="inlineStr">
        <is>
          <t>TC-GW-API-003</t>
        </is>
      </c>
      <c r="C491" s="10" t="inlineStr">
        <is>
          <t>Gateway &amp; Config</t>
        </is>
      </c>
      <c r="D491" s="10" t="inlineStr">
        <is>
          <t>API — Định tuyến &amp; hạ tầng</t>
        </is>
      </c>
      <c r="E491" s="10" t="inlineStr">
        <is>
          <t>Endpoint nội bộ không lộ ra ngoài</t>
        </is>
      </c>
      <c r="F491" s="10" t="inlineStr">
        <is>
          <t>—</t>
        </is>
      </c>
      <c r="G491" s="10" t="inlineStr">
        <is>
          <t>`GET /api/v1/internal/...`, `/health/ready`, `/metrics`</t>
        </is>
      </c>
      <c r="H491" s="10" t="inlineStr">
        <is>
          <t>—</t>
        </is>
      </c>
      <c r="I491" s="10" t="inlineStr">
        <is>
          <t>404 qua Gateway</t>
        </is>
      </c>
      <c r="J491" s="10" t="inlineStr">
        <is>
          <t>Security</t>
        </is>
      </c>
      <c r="K491" s="10" t="inlineStr">
        <is>
          <t>P1 - Cao</t>
        </is>
      </c>
      <c r="L491" s="10" t="inlineStr">
        <is>
          <t>FR-GW-001</t>
        </is>
      </c>
      <c r="M491" s="11" t="inlineStr">
        <is>
          <t>Chưa chạy</t>
        </is>
      </c>
      <c r="N491" s="11" t="inlineStr"/>
      <c r="O491" s="11" t="inlineStr"/>
      <c r="P491" s="11" t="inlineStr"/>
    </row>
    <row r="492">
      <c r="A492" s="10" t="n">
        <v>491</v>
      </c>
      <c r="B492" s="10" t="inlineStr">
        <is>
          <t>TC-GW-API-004</t>
        </is>
      </c>
      <c r="C492" s="10" t="inlineStr">
        <is>
          <t>Gateway &amp; Config</t>
        </is>
      </c>
      <c r="D492" s="10" t="inlineStr">
        <is>
          <t>API — Định tuyến &amp; hạ tầng</t>
        </is>
      </c>
      <c r="E492" s="10" t="inlineStr">
        <is>
          <t>Correlation-id tự sinh</t>
        </is>
      </c>
      <c r="F492" s="10" t="inlineStr">
        <is>
          <t>—</t>
        </is>
      </c>
      <c r="G492" s="10" t="inlineStr">
        <is>
          <t>Gọi API không gửi header</t>
        </is>
      </c>
      <c r="H492" s="10" t="inlineStr">
        <is>
          <t>—</t>
        </is>
      </c>
      <c r="I492" s="10" t="inlineStr">
        <is>
          <t>Response có `X-Correlation-Id`; log service dùng cùng giá trị</t>
        </is>
      </c>
      <c r="J492" s="10" t="inlineStr">
        <is>
          <t>Integration</t>
        </is>
      </c>
      <c r="K492" s="10" t="inlineStr">
        <is>
          <t>P1 - Cao</t>
        </is>
      </c>
      <c r="L492" s="10" t="inlineStr">
        <is>
          <t>FR-GW-005</t>
        </is>
      </c>
      <c r="M492" s="11" t="inlineStr">
        <is>
          <t>Chưa chạy</t>
        </is>
      </c>
      <c r="N492" s="11" t="inlineStr"/>
      <c r="O492" s="11" t="inlineStr"/>
      <c r="P492" s="11" t="inlineStr"/>
    </row>
    <row r="493">
      <c r="A493" s="10" t="n">
        <v>492</v>
      </c>
      <c r="B493" s="10" t="inlineStr">
        <is>
          <t>TC-GW-API-005</t>
        </is>
      </c>
      <c r="C493" s="10" t="inlineStr">
        <is>
          <t>Gateway &amp; Config</t>
        </is>
      </c>
      <c r="D493" s="10" t="inlineStr">
        <is>
          <t>API — Định tuyến &amp; hạ tầng</t>
        </is>
      </c>
      <c r="E493" s="10" t="inlineStr">
        <is>
          <t>Correlation-id do client cung cấp</t>
        </is>
      </c>
      <c r="F493" s="10" t="inlineStr">
        <is>
          <t>—</t>
        </is>
      </c>
      <c r="G493" s="10" t="inlineStr">
        <is>
          <t>Gửi `X-Correlation-Id: abc-123`</t>
        </is>
      </c>
      <c r="H493" s="10" t="inlineStr">
        <is>
          <t>—</t>
        </is>
      </c>
      <c r="I493" s="10" t="inlineStr">
        <is>
          <t>Giá trị được giữ nguyên xuyên suốt log các service</t>
        </is>
      </c>
      <c r="J493" s="10" t="inlineStr">
        <is>
          <t>Integration</t>
        </is>
      </c>
      <c r="K493" s="10" t="inlineStr">
        <is>
          <t>P2 - Trung bình</t>
        </is>
      </c>
      <c r="L493" s="10" t="inlineStr">
        <is>
          <t>FR-GW-005</t>
        </is>
      </c>
      <c r="M493" s="11" t="inlineStr">
        <is>
          <t>Chưa chạy</t>
        </is>
      </c>
      <c r="N493" s="11" t="inlineStr"/>
      <c r="O493" s="11" t="inlineStr"/>
      <c r="P493" s="11" t="inlineStr"/>
    </row>
    <row r="494">
      <c r="A494" s="10" t="n">
        <v>493</v>
      </c>
      <c r="B494" s="10" t="inlineStr">
        <is>
          <t>TC-GW-API-006</t>
        </is>
      </c>
      <c r="C494" s="10" t="inlineStr">
        <is>
          <t>Gateway &amp; Config</t>
        </is>
      </c>
      <c r="D494" s="10" t="inlineStr">
        <is>
          <t>API — Định tuyến &amp; hạ tầng</t>
        </is>
      </c>
      <c r="E494" s="10" t="inlineStr">
        <is>
          <t>Giới hạn kích thước body</t>
        </is>
      </c>
      <c r="F494" s="10" t="inlineStr">
        <is>
          <t>—</t>
        </is>
      </c>
      <c r="G494" s="10" t="inlineStr">
        <is>
          <t>POST body 2 MB</t>
        </is>
      </c>
      <c r="H494" s="10" t="inlineStr">
        <is>
          <t>—</t>
        </is>
      </c>
      <c r="I494" s="10" t="inlineStr">
        <is>
          <t>413</t>
        </is>
      </c>
      <c r="J494" s="10" t="inlineStr">
        <is>
          <t>Security</t>
        </is>
      </c>
      <c r="K494" s="10" t="inlineStr">
        <is>
          <t>P1 - Cao</t>
        </is>
      </c>
      <c r="L494" s="10" t="inlineStr">
        <is>
          <t>FR-GW-009</t>
        </is>
      </c>
      <c r="M494" s="11" t="inlineStr">
        <is>
          <t>Chưa chạy</t>
        </is>
      </c>
      <c r="N494" s="11" t="inlineStr"/>
      <c r="O494" s="11" t="inlineStr"/>
      <c r="P494" s="11" t="inlineStr"/>
    </row>
    <row r="495">
      <c r="A495" s="10" t="n">
        <v>494</v>
      </c>
      <c r="B495" s="10" t="inlineStr">
        <is>
          <t>TC-GW-API-007</t>
        </is>
      </c>
      <c r="C495" s="10" t="inlineStr">
        <is>
          <t>Gateway &amp; Config</t>
        </is>
      </c>
      <c r="D495" s="10" t="inlineStr">
        <is>
          <t>API — Định tuyến &amp; hạ tầng</t>
        </is>
      </c>
      <c r="E495" s="10" t="inlineStr">
        <is>
          <t>Service đích ngừng</t>
        </is>
      </c>
      <c r="F495" s="10" t="inlineStr">
        <is>
          <t>Dừng Inventory</t>
        </is>
      </c>
      <c r="G495" s="10" t="inlineStr">
        <is>
          <t>`GET /api/v1/nodes`</t>
        </is>
      </c>
      <c r="H495" s="10" t="inlineStr">
        <is>
          <t>—</t>
        </is>
      </c>
      <c r="I495" s="10" t="inlineStr">
        <is>
          <t>503 chuẩn hóa, không stack trace; YARP loại đích lỗi khỏi vòng tải</t>
        </is>
      </c>
      <c r="J495" s="10" t="inlineStr">
        <is>
          <t>Reliability</t>
        </is>
      </c>
      <c r="K495" s="10" t="inlineStr">
        <is>
          <t>P1 - Cao</t>
        </is>
      </c>
      <c r="L495" s="10" t="inlineStr">
        <is>
          <t>FR-GW-011, 014</t>
        </is>
      </c>
      <c r="M495" s="11" t="inlineStr">
        <is>
          <t>Chưa chạy</t>
        </is>
      </c>
      <c r="N495" s="11" t="inlineStr"/>
      <c r="O495" s="11" t="inlineStr"/>
      <c r="P495" s="11" t="inlineStr"/>
    </row>
    <row r="496">
      <c r="A496" s="10" t="n">
        <v>495</v>
      </c>
      <c r="B496" s="10" t="inlineStr">
        <is>
          <t>TC-GW-API-008</t>
        </is>
      </c>
      <c r="C496" s="10" t="inlineStr">
        <is>
          <t>Gateway &amp; Config</t>
        </is>
      </c>
      <c r="D496" s="10" t="inlineStr">
        <is>
          <t>API — Định tuyến &amp; hạ tầng</t>
        </is>
      </c>
      <c r="E496" s="10" t="inlineStr">
        <is>
          <t>Cân bằng tải</t>
        </is>
      </c>
      <c r="F496" s="10" t="inlineStr">
        <is>
          <t>2 replica Inventory</t>
        </is>
      </c>
      <c r="G496" s="10" t="inlineStr">
        <is>
          <t>Gửi 100 request</t>
        </is>
      </c>
      <c r="H496" s="10" t="inlineStr">
        <is>
          <t>—</t>
        </is>
      </c>
      <c r="I496" s="10" t="inlineStr">
        <is>
          <t>Phân bổ tới cả hai replica</t>
        </is>
      </c>
      <c r="J496" s="10" t="inlineStr">
        <is>
          <t>Performance</t>
        </is>
      </c>
      <c r="K496" s="10" t="inlineStr">
        <is>
          <t>P2 - Trung bình</t>
        </is>
      </c>
      <c r="L496" s="10" t="inlineStr">
        <is>
          <t>FR-GW-011</t>
        </is>
      </c>
      <c r="M496" s="11" t="inlineStr">
        <is>
          <t>Chưa chạy</t>
        </is>
      </c>
      <c r="N496" s="11" t="inlineStr"/>
      <c r="O496" s="11" t="inlineStr"/>
      <c r="P496" s="11" t="inlineStr"/>
    </row>
    <row r="497">
      <c r="A497" s="10" t="n">
        <v>496</v>
      </c>
      <c r="B497" s="10" t="inlineStr">
        <is>
          <t>TC-GW-API-009</t>
        </is>
      </c>
      <c r="C497" s="10" t="inlineStr">
        <is>
          <t>Gateway &amp; Config</t>
        </is>
      </c>
      <c r="D497" s="10" t="inlineStr">
        <is>
          <t>API — Định tuyến &amp; hạ tầng</t>
        </is>
      </c>
      <c r="E497" s="10" t="inlineStr">
        <is>
          <t>WebSocket passthrough</t>
        </is>
      </c>
      <c r="F497" s="10" t="inlineStr">
        <is>
          <t>—</t>
        </is>
      </c>
      <c r="G497" s="10" t="inlineStr">
        <is>
          <t>Mở kết nối `/hubs/monitoring`</t>
        </is>
      </c>
      <c r="H497" s="10" t="inlineStr">
        <is>
          <t>—</t>
        </is>
      </c>
      <c r="I497" s="10" t="inlineStr">
        <is>
          <t>Nâng cấp WebSocket thành công qua Gateway</t>
        </is>
      </c>
      <c r="J497" s="10" t="inlineStr">
        <is>
          <t>Functional</t>
        </is>
      </c>
      <c r="K497" s="10" t="inlineStr">
        <is>
          <t>P1 - Cao</t>
        </is>
      </c>
      <c r="L497" s="10" t="inlineStr">
        <is>
          <t>FR-GW-010</t>
        </is>
      </c>
      <c r="M497" s="11" t="inlineStr">
        <is>
          <t>Chưa chạy</t>
        </is>
      </c>
      <c r="N497" s="11" t="inlineStr"/>
      <c r="O497" s="11" t="inlineStr"/>
      <c r="P497" s="11" t="inlineStr"/>
    </row>
    <row r="498">
      <c r="A498" s="10" t="n">
        <v>497</v>
      </c>
      <c r="B498" s="10" t="inlineStr">
        <is>
          <t>TC-GW-API-010</t>
        </is>
      </c>
      <c r="C498" s="10" t="inlineStr">
        <is>
          <t>Gateway &amp; Config</t>
        </is>
      </c>
      <c r="D498" s="10" t="inlineStr">
        <is>
          <t>API — Định tuyến &amp; hạ tầng</t>
        </is>
      </c>
      <c r="E498" s="10" t="inlineStr">
        <is>
          <t>Chi phí gateway</t>
        </is>
      </c>
      <c r="F498" s="10" t="inlineStr">
        <is>
          <t>—</t>
        </is>
      </c>
      <c r="G498" s="10" t="inlineStr">
        <is>
          <t>So sánh độ trễ gọi trực tiếp và qua gateway</t>
        </is>
      </c>
      <c r="H498" s="10" t="inlineStr">
        <is>
          <t>—</t>
        </is>
      </c>
      <c r="I498" s="10" t="inlineStr">
        <is>
          <t>Chênh lệch p95 ≤ 20 ms</t>
        </is>
      </c>
      <c r="J498" s="10" t="inlineStr">
        <is>
          <t>Performance</t>
        </is>
      </c>
      <c r="K498" s="10" t="inlineStr">
        <is>
          <t>P2 - Trung bình</t>
        </is>
      </c>
      <c r="L498" s="10" t="inlineStr">
        <is>
          <t>SRS §8</t>
        </is>
      </c>
      <c r="M498" s="11" t="inlineStr">
        <is>
          <t>Chưa chạy</t>
        </is>
      </c>
      <c r="N498" s="11" t="inlineStr"/>
      <c r="O498" s="11" t="inlineStr"/>
      <c r="P498" s="11" t="inlineStr"/>
    </row>
    <row r="499">
      <c r="A499" s="10" t="n">
        <v>498</v>
      </c>
      <c r="B499" s="10" t="inlineStr">
        <is>
          <t>TC-GW-API-011</t>
        </is>
      </c>
      <c r="C499" s="10" t="inlineStr">
        <is>
          <t>Gateway &amp; Config</t>
        </is>
      </c>
      <c r="D499" s="10" t="inlineStr">
        <is>
          <t>API — Định tuyến &amp; hạ tầng</t>
        </is>
      </c>
      <c r="E499" s="10" t="inlineStr">
        <is>
          <t>Rolling update không rớt request</t>
        </is>
      </c>
      <c r="F499" s="10" t="inlineStr">
        <is>
          <t>Đang có tải</t>
        </is>
      </c>
      <c r="G499" s="10" t="inlineStr">
        <is>
          <t>Deploy phiên bản mới</t>
        </is>
      </c>
      <c r="H499" s="10" t="inlineStr">
        <is>
          <t>—</t>
        </is>
      </c>
      <c r="I499" s="10" t="inlineStr">
        <is>
          <t>0 request lỗi trong quá trình cập nhật</t>
        </is>
      </c>
      <c r="J499" s="10" t="inlineStr">
        <is>
          <t>Reliability</t>
        </is>
      </c>
      <c r="K499" s="10" t="inlineStr">
        <is>
          <t>P1 - Cao</t>
        </is>
      </c>
      <c r="L499" s="10" t="inlineStr">
        <is>
          <t>NFR-AVL-008</t>
        </is>
      </c>
      <c r="M499" s="11" t="inlineStr">
        <is>
          <t>Chưa chạy</t>
        </is>
      </c>
      <c r="N499" s="11" t="inlineStr"/>
      <c r="O499" s="11" t="inlineStr"/>
      <c r="P499" s="11" t="inlineStr"/>
    </row>
    <row r="500">
      <c r="A500" s="10" t="n">
        <v>499</v>
      </c>
      <c r="B500" s="10" t="inlineStr">
        <is>
          <t>TC-GW-SEC-001</t>
        </is>
      </c>
      <c r="C500" s="10" t="inlineStr">
        <is>
          <t>Gateway &amp; Config</t>
        </is>
      </c>
      <c r="D500" s="10" t="inlineStr">
        <is>
          <t>Security — Xác thực, phân quyền &amp; giới hạn</t>
        </is>
      </c>
      <c r="E500" s="10" t="inlineStr">
        <is>
          <t>Thiếu token</t>
        </is>
      </c>
      <c r="F500" s="10" t="inlineStr">
        <is>
          <t>—</t>
        </is>
      </c>
      <c r="G500" s="10" t="inlineStr">
        <is>
          <t>`GET /api/v1/nodes` không header</t>
        </is>
      </c>
      <c r="H500" s="10" t="inlineStr">
        <is>
          <t>—</t>
        </is>
      </c>
      <c r="I500" s="10" t="inlineStr">
        <is>
          <t>401 `ProblemDetails`, không lộ chi tiết</t>
        </is>
      </c>
      <c r="J500" s="10" t="inlineStr">
        <is>
          <t>Security</t>
        </is>
      </c>
      <c r="K500" s="10" t="inlineStr">
        <is>
          <t>P1 - Cao</t>
        </is>
      </c>
      <c r="L500" s="10" t="inlineStr">
        <is>
          <t>FR-GW-002</t>
        </is>
      </c>
      <c r="M500" s="11" t="inlineStr">
        <is>
          <t>Chưa chạy</t>
        </is>
      </c>
      <c r="N500" s="11" t="inlineStr"/>
      <c r="O500" s="11" t="inlineStr"/>
      <c r="P500" s="11" t="inlineStr"/>
    </row>
    <row r="501">
      <c r="A501" s="10" t="n">
        <v>500</v>
      </c>
      <c r="B501" s="10" t="inlineStr">
        <is>
          <t>TC-GW-SEC-002</t>
        </is>
      </c>
      <c r="C501" s="10" t="inlineStr">
        <is>
          <t>Gateway &amp; Config</t>
        </is>
      </c>
      <c r="D501" s="10" t="inlineStr">
        <is>
          <t>Security — Xác thực, phân quyền &amp; giới hạn</t>
        </is>
      </c>
      <c r="E501" s="10" t="inlineStr">
        <is>
          <t>Token sai chữ ký</t>
        </is>
      </c>
      <c r="F501" s="10" t="inlineStr">
        <is>
          <t>—</t>
        </is>
      </c>
      <c r="G501" s="10" t="inlineStr">
        <is>
          <t>Sửa 1 ký tự trong chữ ký</t>
        </is>
      </c>
      <c r="H501" s="10" t="inlineStr">
        <is>
          <t>—</t>
        </is>
      </c>
      <c r="I501" s="10" t="inlineStr">
        <is>
          <t>401</t>
        </is>
      </c>
      <c r="J501" s="10" t="inlineStr">
        <is>
          <t>Security</t>
        </is>
      </c>
      <c r="K501" s="10" t="inlineStr">
        <is>
          <t>P1 - Cao</t>
        </is>
      </c>
      <c r="L501" s="10" t="inlineStr">
        <is>
          <t>FR-GW-002</t>
        </is>
      </c>
      <c r="M501" s="11" t="inlineStr">
        <is>
          <t>Chưa chạy</t>
        </is>
      </c>
      <c r="N501" s="11" t="inlineStr"/>
      <c r="O501" s="11" t="inlineStr"/>
      <c r="P501" s="11" t="inlineStr"/>
    </row>
    <row r="502">
      <c r="A502" s="10" t="n">
        <v>501</v>
      </c>
      <c r="B502" s="10" t="inlineStr">
        <is>
          <t>TC-GW-SEC-003</t>
        </is>
      </c>
      <c r="C502" s="10" t="inlineStr">
        <is>
          <t>Gateway &amp; Config</t>
        </is>
      </c>
      <c r="D502" s="10" t="inlineStr">
        <is>
          <t>Security — Xác thực, phân quyền &amp; giới hạn</t>
        </is>
      </c>
      <c r="E502" s="10" t="inlineStr">
        <is>
          <t>Token `alg=none`</t>
        </is>
      </c>
      <c r="F502" s="10" t="inlineStr">
        <is>
          <t>—</t>
        </is>
      </c>
      <c r="G502" s="10" t="inlineStr">
        <is>
          <t>Gửi JWT không chữ ký</t>
        </is>
      </c>
      <c r="H502" s="10" t="inlineStr">
        <is>
          <t>—</t>
        </is>
      </c>
      <c r="I502" s="10" t="inlineStr">
        <is>
          <t>401</t>
        </is>
      </c>
      <c r="J502" s="10" t="inlineStr">
        <is>
          <t>Security</t>
        </is>
      </c>
      <c r="K502" s="10" t="inlineStr">
        <is>
          <t>P1 - Cao</t>
        </is>
      </c>
      <c r="L502" s="10" t="inlineStr">
        <is>
          <t>NFR-SEC-005</t>
        </is>
      </c>
      <c r="M502" s="11" t="inlineStr">
        <is>
          <t>Chưa chạy</t>
        </is>
      </c>
      <c r="N502" s="11" t="inlineStr"/>
      <c r="O502" s="11" t="inlineStr"/>
      <c r="P502" s="11" t="inlineStr"/>
    </row>
    <row r="503">
      <c r="A503" s="10" t="n">
        <v>502</v>
      </c>
      <c r="B503" s="10" t="inlineStr">
        <is>
          <t>TC-GW-SEC-004</t>
        </is>
      </c>
      <c r="C503" s="10" t="inlineStr">
        <is>
          <t>Gateway &amp; Config</t>
        </is>
      </c>
      <c r="D503" s="10" t="inlineStr">
        <is>
          <t>Security — Xác thực, phân quyền &amp; giới hạn</t>
        </is>
      </c>
      <c r="E503" s="10" t="inlineStr">
        <is>
          <t>Token HS256 ký bằng public key</t>
        </is>
      </c>
      <c r="F503" s="10" t="inlineStr">
        <is>
          <t>—</t>
        </is>
      </c>
      <c r="G503" s="10" t="inlineStr">
        <is>
          <t>Tạo token HS256</t>
        </is>
      </c>
      <c r="H503" s="10" t="inlineStr">
        <is>
          <t>—</t>
        </is>
      </c>
      <c r="I503" s="10" t="inlineStr">
        <is>
          <t>401 (chỉ chấp nhận RS256)</t>
        </is>
      </c>
      <c r="J503" s="10" t="inlineStr">
        <is>
          <t>Security</t>
        </is>
      </c>
      <c r="K503" s="10" t="inlineStr">
        <is>
          <t>P1 - Cao</t>
        </is>
      </c>
      <c r="L503" s="10" t="inlineStr">
        <is>
          <t>NFR-SEC-005</t>
        </is>
      </c>
      <c r="M503" s="11" t="inlineStr">
        <is>
          <t>Chưa chạy</t>
        </is>
      </c>
      <c r="N503" s="11" t="inlineStr"/>
      <c r="O503" s="11" t="inlineStr"/>
      <c r="P503" s="11" t="inlineStr"/>
    </row>
    <row r="504">
      <c r="A504" s="10" t="n">
        <v>503</v>
      </c>
      <c r="B504" s="10" t="inlineStr">
        <is>
          <t>TC-GW-SEC-005</t>
        </is>
      </c>
      <c r="C504" s="10" t="inlineStr">
        <is>
          <t>Gateway &amp; Config</t>
        </is>
      </c>
      <c r="D504" s="10" t="inlineStr">
        <is>
          <t>Security — Xác thực, phân quyền &amp; giới hạn</t>
        </is>
      </c>
      <c r="E504" s="10" t="inlineStr">
        <is>
          <t>Token hết hạn</t>
        </is>
      </c>
      <c r="F504" s="10" t="inlineStr">
        <is>
          <t>Token quá 15 phút</t>
        </is>
      </c>
      <c r="G504" s="10" t="inlineStr">
        <is>
          <t>Gọi API</t>
        </is>
      </c>
      <c r="H504" s="10" t="inlineStr">
        <is>
          <t>—</t>
        </is>
      </c>
      <c r="I504" s="10" t="inlineStr">
        <is>
          <t>401</t>
        </is>
      </c>
      <c r="J504" s="10" t="inlineStr">
        <is>
          <t>Security</t>
        </is>
      </c>
      <c r="K504" s="10" t="inlineStr">
        <is>
          <t>P1 - Cao</t>
        </is>
      </c>
      <c r="L504" s="10" t="inlineStr">
        <is>
          <t>FR-GW-002</t>
        </is>
      </c>
      <c r="M504" s="11" t="inlineStr">
        <is>
          <t>Chưa chạy</t>
        </is>
      </c>
      <c r="N504" s="11" t="inlineStr"/>
      <c r="O504" s="11" t="inlineStr"/>
      <c r="P504" s="11" t="inlineStr"/>
    </row>
    <row r="505">
      <c r="A505" s="10" t="n">
        <v>504</v>
      </c>
      <c r="B505" s="10" t="inlineStr">
        <is>
          <t>TC-GW-SEC-006</t>
        </is>
      </c>
      <c r="C505" s="10" t="inlineStr">
        <is>
          <t>Gateway &amp; Config</t>
        </is>
      </c>
      <c r="D505" s="10" t="inlineStr">
        <is>
          <t>Security — Xác thực, phân quyền &amp; giới hạn</t>
        </is>
      </c>
      <c r="E505" s="10" t="inlineStr">
        <is>
          <t>Sai `aud`/`iss`</t>
        </is>
      </c>
      <c r="F505" s="10" t="inlineStr">
        <is>
          <t>Token của hệ thống khác</t>
        </is>
      </c>
      <c r="G505" s="10" t="inlineStr">
        <is>
          <t>Gọi API</t>
        </is>
      </c>
      <c r="H505" s="10" t="inlineStr">
        <is>
          <t>—</t>
        </is>
      </c>
      <c r="I505" s="10" t="inlineStr">
        <is>
          <t>401</t>
        </is>
      </c>
      <c r="J505" s="10" t="inlineStr">
        <is>
          <t>Security</t>
        </is>
      </c>
      <c r="K505" s="10" t="inlineStr">
        <is>
          <t>P1 - Cao</t>
        </is>
      </c>
      <c r="L505" s="10" t="inlineStr">
        <is>
          <t>FR-GW-002</t>
        </is>
      </c>
      <c r="M505" s="11" t="inlineStr">
        <is>
          <t>Chưa chạy</t>
        </is>
      </c>
      <c r="N505" s="11" t="inlineStr"/>
      <c r="O505" s="11" t="inlineStr"/>
      <c r="P505" s="11" t="inlineStr"/>
    </row>
    <row r="506">
      <c r="A506" s="10" t="n">
        <v>505</v>
      </c>
      <c r="B506" s="10" t="inlineStr">
        <is>
          <t>TC-GW-SEC-007</t>
        </is>
      </c>
      <c r="C506" s="10" t="inlineStr">
        <is>
          <t>Gateway &amp; Config</t>
        </is>
      </c>
      <c r="D506" s="10" t="inlineStr">
        <is>
          <t>Security — Xác thực, phân quyền &amp; giới hạn</t>
        </is>
      </c>
      <c r="E506" s="10" t="inlineStr">
        <is>
          <t>Xoay khóa ký</t>
        </is>
      </c>
      <c r="F506" s="10" t="inlineStr">
        <is>
          <t>Identity xoay sang `kid` mới</t>
        </is>
      </c>
      <c r="G506" s="10" t="inlineStr">
        <is>
          <t>Gọi API với token mới</t>
        </is>
      </c>
      <c r="H506" s="10" t="inlineStr">
        <is>
          <t>—</t>
        </is>
      </c>
      <c r="I506" s="10" t="inlineStr">
        <is>
          <t>Gateway tự làm mới JWKS và chấp nhận</t>
        </is>
      </c>
      <c r="J506" s="10" t="inlineStr">
        <is>
          <t>Security</t>
        </is>
      </c>
      <c r="K506" s="10" t="inlineStr">
        <is>
          <t>P2 - Trung bình</t>
        </is>
      </c>
      <c r="L506" s="10" t="inlineStr">
        <is>
          <t>FR-GW-002</t>
        </is>
      </c>
      <c r="M506" s="11" t="inlineStr">
        <is>
          <t>Chưa chạy</t>
        </is>
      </c>
      <c r="N506" s="11" t="inlineStr"/>
      <c r="O506" s="11" t="inlineStr"/>
      <c r="P506" s="11" t="inlineStr"/>
    </row>
    <row r="507">
      <c r="A507" s="10" t="n">
        <v>506</v>
      </c>
      <c r="B507" s="10" t="inlineStr">
        <is>
          <t>TC-GW-SEC-008</t>
        </is>
      </c>
      <c r="C507" s="10" t="inlineStr">
        <is>
          <t>Gateway &amp; Config</t>
        </is>
      </c>
      <c r="D507" s="10" t="inlineStr">
        <is>
          <t>Security — Xác thực, phân quyền &amp; giới hạn</t>
        </is>
      </c>
      <c r="E507" s="10" t="inlineStr">
        <is>
          <t>Ma trận vai trò × endpoint</t>
        </is>
      </c>
      <c r="F507" s="10" t="inlineStr">
        <is>
          <t>3 tài khoản</t>
        </is>
      </c>
      <c r="G507" s="10" t="inlineStr">
        <is>
          <t>Gọi toàn bộ endpoint theo bảng RBAC</t>
        </is>
      </c>
      <c r="H507" s="10" t="inlineStr">
        <is>
          <t>—</t>
        </is>
      </c>
      <c r="I507" s="10" t="inlineStr">
        <is>
          <t>Kết quả khớp 100% bảng phân quyền (mỗi ô một assert)</t>
        </is>
      </c>
      <c r="J507" s="10" t="inlineStr">
        <is>
          <t>Security</t>
        </is>
      </c>
      <c r="K507" s="10" t="inlineStr">
        <is>
          <t>P1 - Cao</t>
        </is>
      </c>
      <c r="L507" s="10" t="inlineStr">
        <is>
          <t>NFR-SEC-008</t>
        </is>
      </c>
      <c r="M507" s="11" t="inlineStr">
        <is>
          <t>Chưa chạy</t>
        </is>
      </c>
      <c r="N507" s="11" t="inlineStr"/>
      <c r="O507" s="11" t="inlineStr"/>
      <c r="P507" s="11" t="inlineStr"/>
    </row>
    <row r="508">
      <c r="A508" s="10" t="n">
        <v>507</v>
      </c>
      <c r="B508" s="10" t="inlineStr">
        <is>
          <t>TC-GW-SEC-009</t>
        </is>
      </c>
      <c r="C508" s="10" t="inlineStr">
        <is>
          <t>Gateway &amp; Config</t>
        </is>
      </c>
      <c r="D508" s="10" t="inlineStr">
        <is>
          <t>Security — Xác thực, phân quyền &amp; giới hạn</t>
        </is>
      </c>
      <c r="E508" s="10" t="inlineStr">
        <is>
          <t>Client tự gắn header nâng quyền</t>
        </is>
      </c>
      <c r="F508" s="10" t="inlineStr">
        <is>
          <t>Đăng nhập VIEWER</t>
        </is>
      </c>
      <c r="G508" s="10" t="inlineStr">
        <is>
          <t>Gửi `X-User-Role: ADMIN`</t>
        </is>
      </c>
      <c r="H508" s="10" t="inlineStr">
        <is>
          <t>—</t>
        </is>
      </c>
      <c r="I508" s="10" t="inlineStr">
        <is>
          <t>Header bị xóa; vẫn 403 khi gọi endpoint ADMIN</t>
        </is>
      </c>
      <c r="J508" s="10" t="inlineStr">
        <is>
          <t>Security</t>
        </is>
      </c>
      <c r="K508" s="10" t="inlineStr">
        <is>
          <t>P1 - Cao</t>
        </is>
      </c>
      <c r="L508" s="10" t="inlineStr">
        <is>
          <t>FR-GW-006</t>
        </is>
      </c>
      <c r="M508" s="11" t="inlineStr">
        <is>
          <t>Chưa chạy</t>
        </is>
      </c>
      <c r="N508" s="11" t="inlineStr"/>
      <c r="O508" s="11" t="inlineStr"/>
      <c r="P508" s="11" t="inlineStr"/>
    </row>
    <row r="509">
      <c r="A509" s="10" t="n">
        <v>508</v>
      </c>
      <c r="B509" s="10" t="inlineStr">
        <is>
          <t>TC-GW-SEC-010</t>
        </is>
      </c>
      <c r="C509" s="10" t="inlineStr">
        <is>
          <t>Gateway &amp; Config</t>
        </is>
      </c>
      <c r="D509" s="10" t="inlineStr">
        <is>
          <t>Security — Xác thực, phân quyền &amp; giới hạn</t>
        </is>
      </c>
      <c r="E509" s="10" t="inlineStr">
        <is>
          <t>Service kiểm tra lại quyền</t>
        </is>
      </c>
      <c r="F509" s="10" t="inlineStr">
        <is>
          <t>Bỏ qua gateway (gọi trực tiếp trong mạng thử nghiệm)</t>
        </is>
      </c>
      <c r="G509" s="10" t="inlineStr">
        <is>
          <t>Gọi endpoint ADMIN bằng token VIEWER</t>
        </is>
      </c>
      <c r="H509" s="10" t="inlineStr">
        <is>
          <t>—</t>
        </is>
      </c>
      <c r="I509" s="10" t="inlineStr">
        <is>
          <t>Service vẫn trả 403</t>
        </is>
      </c>
      <c r="J509" s="10" t="inlineStr">
        <is>
          <t>Security</t>
        </is>
      </c>
      <c r="K509" s="10" t="inlineStr">
        <is>
          <t>P1 - Cao</t>
        </is>
      </c>
      <c r="L509" s="10" t="inlineStr">
        <is>
          <t>BR-GW-002</t>
        </is>
      </c>
      <c r="M509" s="11" t="inlineStr">
        <is>
          <t>Chưa chạy</t>
        </is>
      </c>
      <c r="N509" s="11" t="inlineStr"/>
      <c r="O509" s="11" t="inlineStr"/>
      <c r="P509" s="11" t="inlineStr"/>
    </row>
    <row r="510">
      <c r="A510" s="10" t="n">
        <v>509</v>
      </c>
      <c r="B510" s="10" t="inlineStr">
        <is>
          <t>TC-GW-SEC-011</t>
        </is>
      </c>
      <c r="C510" s="10" t="inlineStr">
        <is>
          <t>Gateway &amp; Config</t>
        </is>
      </c>
      <c r="D510" s="10" t="inlineStr">
        <is>
          <t>Security — Xác thực, phân quyền &amp; giới hạn</t>
        </is>
      </c>
      <c r="E510" s="10" t="inlineStr">
        <is>
          <t>Rate limit đọc</t>
        </is>
      </c>
      <c r="F510" s="10" t="inlineStr">
        <is>
          <t>—</t>
        </is>
      </c>
      <c r="G510" s="10" t="inlineStr">
        <is>
          <t>301 request/phút/user</t>
        </is>
      </c>
      <c r="H510" s="10" t="inlineStr">
        <is>
          <t>—</t>
        </is>
      </c>
      <c r="I510" s="10" t="inlineStr">
        <is>
          <t>Request vượt ngưỡng trả 429 + `Retry-After`</t>
        </is>
      </c>
      <c r="J510" s="10" t="inlineStr">
        <is>
          <t>Security</t>
        </is>
      </c>
      <c r="K510" s="10" t="inlineStr">
        <is>
          <t>P1 - Cao</t>
        </is>
      </c>
      <c r="L510" s="10" t="inlineStr">
        <is>
          <t>FR-GW-004</t>
        </is>
      </c>
      <c r="M510" s="11" t="inlineStr">
        <is>
          <t>Chưa chạy</t>
        </is>
      </c>
      <c r="N510" s="11" t="inlineStr"/>
      <c r="O510" s="11" t="inlineStr"/>
      <c r="P510" s="11" t="inlineStr"/>
    </row>
    <row r="511">
      <c r="A511" s="10" t="n">
        <v>510</v>
      </c>
      <c r="B511" s="10" t="inlineStr">
        <is>
          <t>TC-GW-SEC-012</t>
        </is>
      </c>
      <c r="C511" s="10" t="inlineStr">
        <is>
          <t>Gateway &amp; Config</t>
        </is>
      </c>
      <c r="D511" s="10" t="inlineStr">
        <is>
          <t>Security — Xác thực, phân quyền &amp; giới hạn</t>
        </is>
      </c>
      <c r="E511" s="10" t="inlineStr">
        <is>
          <t>Rate limit dùng chung giữa replica</t>
        </is>
      </c>
      <c r="F511" s="10" t="inlineStr">
        <is>
          <t>2 replica Gateway</t>
        </is>
      </c>
      <c r="G511" s="10" t="inlineStr">
        <is>
          <t>Gửi tải qua cả hai</t>
        </is>
      </c>
      <c r="H511" s="10" t="inlineStr">
        <is>
          <t>—</t>
        </is>
      </c>
      <c r="I511" s="10" t="inlineStr">
        <is>
          <t>Bộ đếm chung (Redis), tổng vượt ngưỡng thì chặn</t>
        </is>
      </c>
      <c r="J511" s="10" t="inlineStr">
        <is>
          <t>Security</t>
        </is>
      </c>
      <c r="K511" s="10" t="inlineStr">
        <is>
          <t>P2 - Trung bình</t>
        </is>
      </c>
      <c r="L511" s="10" t="inlineStr">
        <is>
          <t>FR-GW-004</t>
        </is>
      </c>
      <c r="M511" s="11" t="inlineStr">
        <is>
          <t>Chưa chạy</t>
        </is>
      </c>
      <c r="N511" s="11" t="inlineStr"/>
      <c r="O511" s="11" t="inlineStr"/>
      <c r="P511" s="11" t="inlineStr"/>
    </row>
    <row r="512">
      <c r="A512" s="10" t="n">
        <v>511</v>
      </c>
      <c r="B512" s="10" t="inlineStr">
        <is>
          <t>TC-GW-SEC-013</t>
        </is>
      </c>
      <c r="C512" s="10" t="inlineStr">
        <is>
          <t>Gateway &amp; Config</t>
        </is>
      </c>
      <c r="D512" s="10" t="inlineStr">
        <is>
          <t>Security — Xác thực, phân quyền &amp; giới hạn</t>
        </is>
      </c>
      <c r="E512" s="10" t="inlineStr">
        <is>
          <t>CORS origin hợp lệ</t>
        </is>
      </c>
      <c r="F512" s="10" t="inlineStr">
        <is>
          <t>—</t>
        </is>
      </c>
      <c r="G512" s="10" t="inlineStr">
        <is>
          <t>Preflight từ origin cho phép</t>
        </is>
      </c>
      <c r="H512" s="10" t="inlineStr">
        <is>
          <t>—</t>
        </is>
      </c>
      <c r="I512" s="10" t="inlineStr">
        <is>
          <t>204 với đủ header CORS, `Allow-Credentials: true`</t>
        </is>
      </c>
      <c r="J512" s="10" t="inlineStr">
        <is>
          <t>Security</t>
        </is>
      </c>
      <c r="K512" s="10" t="inlineStr">
        <is>
          <t>P1 - Cao</t>
        </is>
      </c>
      <c r="L512" s="10" t="inlineStr">
        <is>
          <t>FR-GW-007</t>
        </is>
      </c>
      <c r="M512" s="11" t="inlineStr">
        <is>
          <t>Chưa chạy</t>
        </is>
      </c>
      <c r="N512" s="11" t="inlineStr"/>
      <c r="O512" s="11" t="inlineStr"/>
      <c r="P512" s="11" t="inlineStr"/>
    </row>
    <row r="513">
      <c r="A513" s="10" t="n">
        <v>512</v>
      </c>
      <c r="B513" s="10" t="inlineStr">
        <is>
          <t>TC-GW-SEC-014</t>
        </is>
      </c>
      <c r="C513" s="10" t="inlineStr">
        <is>
          <t>Gateway &amp; Config</t>
        </is>
      </c>
      <c r="D513" s="10" t="inlineStr">
        <is>
          <t>Security — Xác thực, phân quyền &amp; giới hạn</t>
        </is>
      </c>
      <c r="E513" s="10" t="inlineStr">
        <is>
          <t>CORS origin lạ</t>
        </is>
      </c>
      <c r="F513" s="10" t="inlineStr">
        <is>
          <t>—</t>
        </is>
      </c>
      <c r="G513" s="10" t="inlineStr">
        <is>
          <t>Preflight từ `https://evil.com`</t>
        </is>
      </c>
      <c r="H513" s="10" t="inlineStr">
        <is>
          <t>—</t>
        </is>
      </c>
      <c r="I513" s="10" t="inlineStr">
        <is>
          <t>Không có header `Access-Control-Allow-Origin`</t>
        </is>
      </c>
      <c r="J513" s="10" t="inlineStr">
        <is>
          <t>Security</t>
        </is>
      </c>
      <c r="K513" s="10" t="inlineStr">
        <is>
          <t>P1 - Cao</t>
        </is>
      </c>
      <c r="L513" s="10" t="inlineStr">
        <is>
          <t>FR-GW-007</t>
        </is>
      </c>
      <c r="M513" s="11" t="inlineStr">
        <is>
          <t>Chưa chạy</t>
        </is>
      </c>
      <c r="N513" s="11" t="inlineStr"/>
      <c r="O513" s="11" t="inlineStr"/>
      <c r="P513" s="11" t="inlineStr"/>
    </row>
    <row r="514">
      <c r="A514" s="10" t="n">
        <v>513</v>
      </c>
      <c r="B514" s="10" t="inlineStr">
        <is>
          <t>TC-GW-SEC-015</t>
        </is>
      </c>
      <c r="C514" s="10" t="inlineStr">
        <is>
          <t>Gateway &amp; Config</t>
        </is>
      </c>
      <c r="D514" s="10" t="inlineStr">
        <is>
          <t>Security — Xác thực, phân quyền &amp; giới hạn</t>
        </is>
      </c>
      <c r="E514" s="10" t="inlineStr">
        <is>
          <t>Header bảo mật</t>
        </is>
      </c>
      <c r="F514" s="10" t="inlineStr">
        <is>
          <t>—</t>
        </is>
      </c>
      <c r="G514" s="10" t="inlineStr">
        <is>
          <t>Gọi bất kỳ API</t>
        </is>
      </c>
      <c r="H514" s="10" t="inlineStr">
        <is>
          <t>—</t>
        </is>
      </c>
      <c r="I514" s="10" t="inlineStr">
        <is>
          <t>Có HSTS, `X-Content-Type-Options`, `X-Frame-Options: DENY`, `Referrer-Policy`, `Cache-Control: no-store`; không có `Server`/`X-Powered-By`</t>
        </is>
      </c>
      <c r="J514" s="10" t="inlineStr">
        <is>
          <t>Security</t>
        </is>
      </c>
      <c r="K514" s="10" t="inlineStr">
        <is>
          <t>P1 - Cao</t>
        </is>
      </c>
      <c r="L514" s="10" t="inlineStr">
        <is>
          <t>FR-GW-008, 014</t>
        </is>
      </c>
      <c r="M514" s="11" t="inlineStr">
        <is>
          <t>Chưa chạy</t>
        </is>
      </c>
      <c r="N514" s="11" t="inlineStr"/>
      <c r="O514" s="11" t="inlineStr"/>
      <c r="P514" s="11" t="inlineStr"/>
    </row>
    <row r="515">
      <c r="A515" s="10" t="n">
        <v>514</v>
      </c>
      <c r="B515" s="10" t="inlineStr">
        <is>
          <t>TC-GW-SEC-016</t>
        </is>
      </c>
      <c r="C515" s="10" t="inlineStr">
        <is>
          <t>Gateway &amp; Config</t>
        </is>
      </c>
      <c r="D515" s="10" t="inlineStr">
        <is>
          <t>Security — Xác thực, phân quyền &amp; giới hạn</t>
        </is>
      </c>
      <c r="E515" s="10" t="inlineStr">
        <is>
          <t>Lỗi không lộ nội bộ</t>
        </is>
      </c>
      <c r="F515" s="10" t="inlineStr">
        <is>
          <t>Ép lỗi 500 ở service</t>
        </is>
      </c>
      <c r="G515" s="10" t="inlineStr">
        <is>
          <t>Gọi API</t>
        </is>
      </c>
      <c r="H515" s="10" t="inlineStr">
        <is>
          <t>—</t>
        </is>
      </c>
      <c r="I515" s="10" t="inlineStr">
        <is>
          <t>ProblemDetails không chứa stack trace, tên class, chuỗi kết nối</t>
        </is>
      </c>
      <c r="J515" s="10" t="inlineStr">
        <is>
          <t>Security</t>
        </is>
      </c>
      <c r="K515" s="10" t="inlineStr">
        <is>
          <t>P1 - Cao</t>
        </is>
      </c>
      <c r="L515" s="10" t="inlineStr">
        <is>
          <t>FR-GW-014</t>
        </is>
      </c>
      <c r="M515" s="11" t="inlineStr">
        <is>
          <t>Chưa chạy</t>
        </is>
      </c>
      <c r="N515" s="11" t="inlineStr"/>
      <c r="O515" s="11" t="inlineStr"/>
      <c r="P515" s="11" t="inlineStr"/>
    </row>
    <row r="516">
      <c r="A516" s="10" t="n">
        <v>515</v>
      </c>
      <c r="B516" s="10" t="inlineStr">
        <is>
          <t>TC-GW-SEC-017</t>
        </is>
      </c>
      <c r="C516" s="10" t="inlineStr">
        <is>
          <t>Gateway &amp; Config</t>
        </is>
      </c>
      <c r="D516" s="10" t="inlineStr">
        <is>
          <t>Security — Xác thực, phân quyền &amp; giới hạn</t>
        </is>
      </c>
      <c r="E516" s="10" t="inlineStr">
        <is>
          <t>Log không chứa token/body</t>
        </is>
      </c>
      <c r="F516" s="10" t="inlineStr">
        <is>
          <t>—</t>
        </is>
      </c>
      <c r="G516" s="10" t="inlineStr">
        <is>
          <t>Gọi login rồi đọc log gateway</t>
        </is>
      </c>
      <c r="H516" s="10" t="inlineStr">
        <is>
          <t>—</t>
        </is>
      </c>
      <c r="I516" s="10" t="inlineStr">
        <is>
          <t>Không có mật khẩu, không có token</t>
        </is>
      </c>
      <c r="J516" s="10" t="inlineStr">
        <is>
          <t>Security</t>
        </is>
      </c>
      <c r="K516" s="10" t="inlineStr">
        <is>
          <t>P1 - Cao</t>
        </is>
      </c>
      <c r="L516" s="10" t="inlineStr">
        <is>
          <t>FR-GW-012</t>
        </is>
      </c>
      <c r="M516" s="11" t="inlineStr">
        <is>
          <t>Chưa chạy</t>
        </is>
      </c>
      <c r="N516" s="11" t="inlineStr"/>
      <c r="O516" s="11" t="inlineStr"/>
      <c r="P516" s="11" t="inlineStr"/>
    </row>
    <row r="517">
      <c r="A517" s="10" t="n">
        <v>516</v>
      </c>
      <c r="B517" s="10" t="inlineStr">
        <is>
          <t>TC-GW-SEC-018</t>
        </is>
      </c>
      <c r="C517" s="10" t="inlineStr">
        <is>
          <t>Gateway &amp; Config</t>
        </is>
      </c>
      <c r="D517" s="10" t="inlineStr">
        <is>
          <t>Security — Xác thực, phân quyền &amp; giới hạn</t>
        </is>
      </c>
      <c r="E517" s="10" t="inlineStr">
        <is>
          <t>Swagger tắt ở production</t>
        </is>
      </c>
      <c r="F517" s="10" t="inlineStr">
        <is>
          <t>Môi trường production</t>
        </is>
      </c>
      <c r="G517" s="10" t="inlineStr">
        <is>
          <t>`GET /swagger`</t>
        </is>
      </c>
      <c r="H517" s="10" t="inlineStr">
        <is>
          <t>—</t>
        </is>
      </c>
      <c r="I517" s="10" t="inlineStr">
        <is>
          <t>404</t>
        </is>
      </c>
      <c r="J517" s="10" t="inlineStr">
        <is>
          <t>Security</t>
        </is>
      </c>
      <c r="K517" s="10" t="inlineStr">
        <is>
          <t>P1 - Cao</t>
        </is>
      </c>
      <c r="L517" s="10" t="inlineStr">
        <is>
          <t>OWASP API8</t>
        </is>
      </c>
      <c r="M517" s="11" t="inlineStr">
        <is>
          <t>Chưa chạy</t>
        </is>
      </c>
      <c r="N517" s="11" t="inlineStr"/>
      <c r="O517" s="11" t="inlineStr"/>
      <c r="P517" s="11" t="inlineStr"/>
    </row>
    <row r="518">
      <c r="A518" s="10" t="n">
        <v>517</v>
      </c>
      <c r="B518" s="10" t="inlineStr">
        <is>
          <t>TC-GW-API-012</t>
        </is>
      </c>
      <c r="C518" s="10" t="inlineStr">
        <is>
          <t>Gateway &amp; Config</t>
        </is>
      </c>
      <c r="D518" s="10" t="inlineStr">
        <is>
          <t>API — Cấu hình hệ thống</t>
        </is>
      </c>
      <c r="E518" s="10" t="inlineStr">
        <is>
          <t>Xem cấu hình tổng hợp</t>
        </is>
      </c>
      <c r="F518" s="10" t="inlineStr">
        <is>
          <t>ADMIN</t>
        </is>
      </c>
      <c r="G518" s="10" t="inlineStr">
        <is>
          <t>`GET /api/v1/system-config`</t>
        </is>
      </c>
      <c r="H518" s="10" t="inlineStr">
        <is>
          <t>—</t>
        </is>
      </c>
      <c r="I518" s="10" t="inlineStr">
        <is>
          <t>200 với 4 nhóm cấu hình + version + trạng thái phụ thuộc; mật khẩu SMTP chỉ có `hasPassword`</t>
        </is>
      </c>
      <c r="J518" s="10" t="inlineStr">
        <is>
          <t>Functional</t>
        </is>
      </c>
      <c r="K518" s="10" t="inlineStr">
        <is>
          <t>P1 - Cao</t>
        </is>
      </c>
      <c r="L518" s="10" t="inlineStr">
        <is>
          <t>FR-GW-020</t>
        </is>
      </c>
      <c r="M518" s="11" t="inlineStr">
        <is>
          <t>Chưa chạy</t>
        </is>
      </c>
      <c r="N518" s="11" t="inlineStr"/>
      <c r="O518" s="11" t="inlineStr"/>
      <c r="P518" s="11" t="inlineStr"/>
    </row>
    <row r="519">
      <c r="A519" s="10" t="n">
        <v>518</v>
      </c>
      <c r="B519" s="10" t="inlineStr">
        <is>
          <t>TC-GW-API-013</t>
        </is>
      </c>
      <c r="C519" s="10" t="inlineStr">
        <is>
          <t>Gateway &amp; Config</t>
        </is>
      </c>
      <c r="D519" s="10" t="inlineStr">
        <is>
          <t>API — Cấu hình hệ thống</t>
        </is>
      </c>
      <c r="E519" s="10" t="inlineStr">
        <is>
          <t>Một service phụ thuộc lỗi</t>
        </is>
      </c>
      <c r="F519" s="10" t="inlineStr">
        <is>
          <t>Dừng Notification</t>
        </is>
      </c>
      <c r="G519" s="10" t="inlineStr">
        <is>
          <t>`GET /system-config`</t>
        </is>
      </c>
      <c r="H519" s="10" t="inlineStr">
        <is>
          <t>—</t>
        </is>
      </c>
      <c r="I519" s="10" t="inlineStr">
        <is>
          <t>Các nhóm khác vẫn trả dữ liệu; nhóm lỗi báo “Không tải được”</t>
        </is>
      </c>
      <c r="J519" s="10" t="inlineStr">
        <is>
          <t>Reliability</t>
        </is>
      </c>
      <c r="K519" s="10" t="inlineStr">
        <is>
          <t>P2 - Trung bình</t>
        </is>
      </c>
      <c r="L519" s="10" t="inlineStr">
        <is>
          <t>UC-GW-01/E2</t>
        </is>
      </c>
      <c r="M519" s="11" t="inlineStr">
        <is>
          <t>Chưa chạy</t>
        </is>
      </c>
      <c r="N519" s="11" t="inlineStr"/>
      <c r="O519" s="11" t="inlineStr"/>
      <c r="P519" s="11" t="inlineStr"/>
    </row>
    <row r="520">
      <c r="A520" s="10" t="n">
        <v>519</v>
      </c>
      <c r="B520" s="10" t="inlineStr">
        <is>
          <t>TC-GW-API-014</t>
        </is>
      </c>
      <c r="C520" s="10" t="inlineStr">
        <is>
          <t>Gateway &amp; Config</t>
        </is>
      </c>
      <c r="D520" s="10" t="inlineStr">
        <is>
          <t>API — Cấu hình hệ thống</t>
        </is>
      </c>
      <c r="E520" s="10" t="inlineStr">
        <is>
          <t>Bật/tắt scheduler</t>
        </is>
      </c>
      <c r="F520" s="10" t="inlineStr">
        <is>
          <t>ADMIN</t>
        </is>
      </c>
      <c r="G520" s="10" t="inlineStr">
        <is>
          <t>`PUT /system-config/scheduler` `{enabled:false}`</t>
        </is>
      </c>
      <c r="H520" s="10" t="inlineStr">
        <is>
          <t>—</t>
        </is>
      </c>
      <c r="I520" s="10" t="inlineStr">
        <is>
          <t>200; không còn lệnh quét; audit `SCHEDULER_TOGGLED`</t>
        </is>
      </c>
      <c r="J520" s="10" t="inlineStr">
        <is>
          <t>Functional</t>
        </is>
      </c>
      <c r="K520" s="10" t="inlineStr">
        <is>
          <t>P1 - Cao</t>
        </is>
      </c>
      <c r="L520" s="10" t="inlineStr">
        <is>
          <t>FR-GW-021</t>
        </is>
      </c>
      <c r="M520" s="11" t="inlineStr">
        <is>
          <t>Chưa chạy</t>
        </is>
      </c>
      <c r="N520" s="11" t="inlineStr"/>
      <c r="O520" s="11" t="inlineStr"/>
      <c r="P520" s="11" t="inlineStr"/>
    </row>
    <row r="521">
      <c r="A521" s="10" t="n">
        <v>520</v>
      </c>
      <c r="B521" s="10" t="inlineStr">
        <is>
          <t>TC-GW-API-015</t>
        </is>
      </c>
      <c r="C521" s="10" t="inlineStr">
        <is>
          <t>Gateway &amp; Config</t>
        </is>
      </c>
      <c r="D521" s="10" t="inlineStr">
        <is>
          <t>API — Cấu hình hệ thống</t>
        </is>
      </c>
      <c r="E521" s="10" t="inlineStr">
        <is>
          <t>Đổi chu kỳ hợp lệ</t>
        </is>
      </c>
      <c r="F521" s="10" t="inlineStr">
        <is>
          <t>ADMIN</t>
        </is>
      </c>
      <c r="G521" s="10" t="inlineStr">
        <is>
          <t>`PUT` `{defaultIntervalSeconds:120}`</t>
        </is>
      </c>
      <c r="H521" s="10" t="inlineStr">
        <is>
          <t>—</t>
        </is>
      </c>
      <c r="I521" s="10" t="inlineStr">
        <is>
          <t>200; áp dụng ngay không cần restart</t>
        </is>
      </c>
      <c r="J521" s="10" t="inlineStr">
        <is>
          <t>Functional</t>
        </is>
      </c>
      <c r="K521" s="10" t="inlineStr">
        <is>
          <t>P1 - Cao</t>
        </is>
      </c>
      <c r="L521" s="10" t="inlineStr">
        <is>
          <t>FR-GW-027</t>
        </is>
      </c>
      <c r="M521" s="11" t="inlineStr">
        <is>
          <t>Chưa chạy</t>
        </is>
      </c>
      <c r="N521" s="11" t="inlineStr"/>
      <c r="O521" s="11" t="inlineStr"/>
      <c r="P521" s="11" t="inlineStr"/>
    </row>
    <row r="522">
      <c r="A522" s="10" t="n">
        <v>521</v>
      </c>
      <c r="B522" s="10" t="inlineStr">
        <is>
          <t>TC-GW-API-016</t>
        </is>
      </c>
      <c r="C522" s="10" t="inlineStr">
        <is>
          <t>Gateway &amp; Config</t>
        </is>
      </c>
      <c r="D522" s="10" t="inlineStr">
        <is>
          <t>API — Cấu hình hệ thống</t>
        </is>
      </c>
      <c r="E522" s="10" t="inlineStr">
        <is>
          <t>Chu kỳ ngoài phạm vi</t>
        </is>
      </c>
      <c r="F522" s="10" t="inlineStr">
        <is>
          <t>ADMIN</t>
        </is>
      </c>
      <c r="G522" s="10" t="inlineStr">
        <is>
          <t>`PUT` `{defaultIntervalSeconds:10}`</t>
        </is>
      </c>
      <c r="H522" s="10" t="inlineStr">
        <is>
          <t>—</t>
        </is>
      </c>
      <c r="I522" s="10" t="inlineStr">
        <is>
          <t>400</t>
        </is>
      </c>
      <c r="J522" s="10" t="inlineStr">
        <is>
          <t>Validation</t>
        </is>
      </c>
      <c r="K522" s="10" t="inlineStr">
        <is>
          <t>P1 - Cao</t>
        </is>
      </c>
      <c r="L522" s="10" t="inlineStr">
        <is>
          <t>SRS §6</t>
        </is>
      </c>
      <c r="M522" s="11" t="inlineStr">
        <is>
          <t>Chưa chạy</t>
        </is>
      </c>
      <c r="N522" s="11" t="inlineStr"/>
      <c r="O522" s="11" t="inlineStr"/>
      <c r="P522" s="11" t="inlineStr"/>
    </row>
    <row r="523">
      <c r="A523" s="10" t="n">
        <v>522</v>
      </c>
      <c r="B523" s="10" t="inlineStr">
        <is>
          <t>TC-GW-API-017</t>
        </is>
      </c>
      <c r="C523" s="10" t="inlineStr">
        <is>
          <t>Gateway &amp; Config</t>
        </is>
      </c>
      <c r="D523" s="10" t="inlineStr">
        <is>
          <t>API — Cấu hình hệ thống</t>
        </is>
      </c>
      <c r="E523" s="10" t="inlineStr">
        <is>
          <t>Kiểm tra sức khỏe phụ thuộc</t>
        </is>
      </c>
      <c r="F523" s="10" t="inlineStr">
        <is>
          <t>—</t>
        </is>
      </c>
      <c r="G523" s="10" t="inlineStr">
        <is>
          <t>`GET /system-config/health`</t>
        </is>
      </c>
      <c r="H523" s="10" t="inlineStr">
        <is>
          <t>—</t>
        </is>
      </c>
      <c r="I523" s="10" t="inlineStr">
        <is>
          <t>200 với trạng thái DB/RabbitMQ/Redis/SMTP</t>
        </is>
      </c>
      <c r="J523" s="10" t="inlineStr">
        <is>
          <t>Functional</t>
        </is>
      </c>
      <c r="K523" s="10" t="inlineStr">
        <is>
          <t>P2 - Trung bình</t>
        </is>
      </c>
      <c r="L523" s="10" t="inlineStr">
        <is>
          <t>FR-GW-025</t>
        </is>
      </c>
      <c r="M523" s="11" t="inlineStr">
        <is>
          <t>Chưa chạy</t>
        </is>
      </c>
      <c r="N523" s="11" t="inlineStr"/>
      <c r="O523" s="11" t="inlineStr"/>
      <c r="P523" s="11" t="inlineStr"/>
    </row>
    <row r="524">
      <c r="A524" s="10" t="n">
        <v>523</v>
      </c>
      <c r="B524" s="10" t="inlineStr">
        <is>
          <t>TC-GW-API-018</t>
        </is>
      </c>
      <c r="C524" s="10" t="inlineStr">
        <is>
          <t>Gateway &amp; Config</t>
        </is>
      </c>
      <c r="D524" s="10" t="inlineStr">
        <is>
          <t>API — Cấu hình hệ thống</t>
        </is>
      </c>
      <c r="E524" s="10" t="inlineStr">
        <is>
          <t>OPERATOR sửa cấu hình</t>
        </is>
      </c>
      <c r="F524" s="10" t="inlineStr">
        <is>
          <t>OPERATOR</t>
        </is>
      </c>
      <c r="G524" s="10" t="inlineStr">
        <is>
          <t>`PUT /system-config/scheduler`</t>
        </is>
      </c>
      <c r="H524" s="10" t="inlineStr">
        <is>
          <t>—</t>
        </is>
      </c>
      <c r="I524" s="10" t="inlineStr">
        <is>
          <t>403</t>
        </is>
      </c>
      <c r="J524" s="10" t="inlineStr">
        <is>
          <t>Security</t>
        </is>
      </c>
      <c r="K524" s="10" t="inlineStr">
        <is>
          <t>P1 - Cao</t>
        </is>
      </c>
      <c r="L524" s="10" t="inlineStr">
        <is>
          <t>RBAC</t>
        </is>
      </c>
      <c r="M524" s="11" t="inlineStr">
        <is>
          <t>Chưa chạy</t>
        </is>
      </c>
      <c r="N524" s="11" t="inlineStr"/>
      <c r="O524" s="11" t="inlineStr"/>
      <c r="P524" s="11" t="inlineStr"/>
    </row>
    <row r="525">
      <c r="A525" s="10" t="n">
        <v>524</v>
      </c>
      <c r="B525" s="10" t="inlineStr">
        <is>
          <t>TC-GW-API-019</t>
        </is>
      </c>
      <c r="C525" s="10" t="inlineStr">
        <is>
          <t>Gateway &amp; Config</t>
        </is>
      </c>
      <c r="D525" s="10" t="inlineStr">
        <is>
          <t>API — Cấu hình hệ thống</t>
        </is>
      </c>
      <c r="E525" s="10" t="inlineStr">
        <is>
          <t>Audit mọi thay đổi cấu hình</t>
        </is>
      </c>
      <c r="F525" s="10" t="inlineStr">
        <is>
          <t>ADMIN</t>
        </is>
      </c>
      <c r="G525" s="10" t="inlineStr">
        <is>
          <t>Đổi 3 nhóm cấu hình</t>
        </is>
      </c>
      <c r="H525" s="10" t="inlineStr">
        <is>
          <t>—</t>
        </is>
      </c>
      <c r="I525" s="10" t="inlineStr">
        <is>
          <t>3 bản ghi audit có diff trước/sau</t>
        </is>
      </c>
      <c r="J525" s="10" t="inlineStr">
        <is>
          <t>Security</t>
        </is>
      </c>
      <c r="K525" s="10" t="inlineStr">
        <is>
          <t>P1 - Cao</t>
        </is>
      </c>
      <c r="L525" s="10" t="inlineStr">
        <is>
          <t>FR-GW-026</t>
        </is>
      </c>
      <c r="M525" s="11" t="inlineStr">
        <is>
          <t>Chưa chạy</t>
        </is>
      </c>
      <c r="N525" s="11" t="inlineStr"/>
      <c r="O525" s="11" t="inlineStr"/>
      <c r="P525" s="11" t="inlineStr"/>
    </row>
    <row r="526">
      <c r="A526" s="10" t="n">
        <v>525</v>
      </c>
      <c r="B526" s="10" t="inlineStr">
        <is>
          <t>TC-GW-API-020</t>
        </is>
      </c>
      <c r="C526" s="10" t="inlineStr">
        <is>
          <t>Gateway &amp; Config</t>
        </is>
      </c>
      <c r="D526" s="10" t="inlineStr">
        <is>
          <t>API — Cấu hình hệ thống</t>
        </is>
      </c>
      <c r="E526" s="10" t="inlineStr">
        <is>
          <t>Hai ADMIN sửa đồng thời</t>
        </is>
      </c>
      <c r="F526" s="10" t="inlineStr">
        <is>
          <t>—</t>
        </is>
      </c>
      <c r="G526" s="10" t="inlineStr">
        <is>
          <t>2 `PUT` song song</t>
        </is>
      </c>
      <c r="H526" s="10" t="inlineStr">
        <is>
          <t>—</t>
        </is>
      </c>
      <c r="I526" s="10" t="inlineStr">
        <is>
          <t>Một request nhận 409</t>
        </is>
      </c>
      <c r="J526" s="10" t="inlineStr">
        <is>
          <t>Reliability</t>
        </is>
      </c>
      <c r="K526" s="10" t="inlineStr">
        <is>
          <t>P2 - Trung bình</t>
        </is>
      </c>
      <c r="L526" s="10" t="inlineStr">
        <is>
          <t>UC-GW-01/E4</t>
        </is>
      </c>
      <c r="M526" s="11" t="inlineStr">
        <is>
          <t>Chưa chạy</t>
        </is>
      </c>
      <c r="N526" s="11" t="inlineStr"/>
      <c r="O526" s="11" t="inlineStr"/>
      <c r="P526" s="11" t="inlineStr"/>
    </row>
    <row r="527">
      <c r="A527" s="10" t="n">
        <v>526</v>
      </c>
      <c r="B527" s="10" t="inlineStr">
        <is>
          <t>TC-GW-E2E-001</t>
        </is>
      </c>
      <c r="C527" s="10" t="inlineStr">
        <is>
          <t>Gateway &amp; Config</t>
        </is>
      </c>
      <c r="D527" s="10" t="inlineStr">
        <is>
          <t>E2E (UI) — Cấu hình hệ thống</t>
        </is>
      </c>
      <c r="E527" s="10" t="inlineStr">
        <is>
          <t>Màn hình cấu hình</t>
        </is>
      </c>
      <c r="F527" s="10" t="inlineStr">
        <is>
          <t>ADMIN</t>
        </is>
      </c>
      <c r="G527" s="10" t="inlineStr">
        <is>
          <t>Mở `/app/system-config`</t>
        </is>
      </c>
      <c r="H527" s="10" t="inlineStr">
        <is>
          <t>—</t>
        </is>
      </c>
      <c r="I527" s="10" t="inlineStr">
        <is>
          <t>4 nhóm hiển thị đúng giá trị hiện tại, mỗi nhóm có nút Lưu riêng</t>
        </is>
      </c>
      <c r="J527" s="10" t="inlineStr">
        <is>
          <t>UI/UX</t>
        </is>
      </c>
      <c r="K527" s="10" t="inlineStr">
        <is>
          <t>P1 - Cao</t>
        </is>
      </c>
      <c r="L527" s="10" t="inlineStr">
        <is>
          <t>FR-GW-FE-001</t>
        </is>
      </c>
      <c r="M527" s="11" t="inlineStr">
        <is>
          <t>Chưa chạy</t>
        </is>
      </c>
      <c r="N527" s="11" t="inlineStr"/>
      <c r="O527" s="11" t="inlineStr"/>
      <c r="P527" s="11" t="inlineStr"/>
    </row>
    <row r="528">
      <c r="A528" s="10" t="n">
        <v>527</v>
      </c>
      <c r="B528" s="10" t="inlineStr">
        <is>
          <t>TC-GW-E2E-002</t>
        </is>
      </c>
      <c r="C528" s="10" t="inlineStr">
        <is>
          <t>Gateway &amp; Config</t>
        </is>
      </c>
      <c r="D528" s="10" t="inlineStr">
        <is>
          <t>E2E (UI) — Cấu hình hệ thống</t>
        </is>
      </c>
      <c r="E528" s="10" t="inlineStr">
        <is>
          <t>Trạng thái phụ thuộc</t>
        </is>
      </c>
      <c r="F528" s="10" t="inlineStr">
        <is>
          <t>—</t>
        </is>
      </c>
      <c r="G528" s="10" t="inlineStr">
        <is>
          <t>Quan sát 60 giây</t>
        </is>
      </c>
      <c r="H528" s="10" t="inlineStr">
        <is>
          <t>—</t>
        </is>
      </c>
      <c r="I528" s="10" t="inlineStr">
        <is>
          <t>Chấm màu + nhãn chữ, tự làm mới mỗi 30 giây</t>
        </is>
      </c>
      <c r="J528" s="10" t="inlineStr">
        <is>
          <t>UI/UX</t>
        </is>
      </c>
      <c r="K528" s="10" t="inlineStr">
        <is>
          <t>P2 - Trung bình</t>
        </is>
      </c>
      <c r="L528" s="10" t="inlineStr">
        <is>
          <t>FR-GW-FE-002</t>
        </is>
      </c>
      <c r="M528" s="11" t="inlineStr">
        <is>
          <t>Chưa chạy</t>
        </is>
      </c>
      <c r="N528" s="11" t="inlineStr"/>
      <c r="O528" s="11" t="inlineStr"/>
      <c r="P528" s="11" t="inlineStr"/>
    </row>
    <row r="529">
      <c r="A529" s="10" t="n">
        <v>528</v>
      </c>
      <c r="B529" s="10" t="inlineStr">
        <is>
          <t>TC-GW-E2E-003</t>
        </is>
      </c>
      <c r="C529" s="10" t="inlineStr">
        <is>
          <t>Gateway &amp; Config</t>
        </is>
      </c>
      <c r="D529" s="10" t="inlineStr">
        <is>
          <t>E2E (UI) — Cấu hình hệ thống</t>
        </is>
      </c>
      <c r="E529" s="10" t="inlineStr">
        <is>
          <t>Validate ngưỡng tại chỗ</t>
        </is>
      </c>
      <c r="F529" s="10" t="inlineStr">
        <is>
          <t>ADMIN</t>
        </is>
      </c>
      <c r="G529" s="10" t="inlineStr">
        <is>
          <t>Nhập warning 95 / critical 90</t>
        </is>
      </c>
      <c r="H529" s="10" t="inlineStr">
        <is>
          <t>—</t>
        </is>
      </c>
      <c r="I529" s="10" t="inlineStr">
        <is>
          <t>Lỗi hiện ngay, nút Lưu bị khóa</t>
        </is>
      </c>
      <c r="J529" s="10" t="inlineStr">
        <is>
          <t>Validation</t>
        </is>
      </c>
      <c r="K529" s="10" t="inlineStr">
        <is>
          <t>P1 - Cao</t>
        </is>
      </c>
      <c r="L529" s="10" t="inlineStr">
        <is>
          <t>FR-GW-FE-003</t>
        </is>
      </c>
      <c r="M529" s="11" t="inlineStr">
        <is>
          <t>Chưa chạy</t>
        </is>
      </c>
      <c r="N529" s="11" t="inlineStr"/>
      <c r="O529" s="11" t="inlineStr"/>
      <c r="P529" s="11" t="inlineStr"/>
    </row>
    <row r="530">
      <c r="A530" s="10" t="n">
        <v>529</v>
      </c>
      <c r="B530" s="10" t="inlineStr">
        <is>
          <t>TC-GW-E2E-004</t>
        </is>
      </c>
      <c r="C530" s="10" t="inlineStr">
        <is>
          <t>Gateway &amp; Config</t>
        </is>
      </c>
      <c r="D530" s="10" t="inlineStr">
        <is>
          <t>E2E (UI) — Cấu hình hệ thống</t>
        </is>
      </c>
      <c r="E530" s="10" t="inlineStr">
        <is>
          <t>Xác nhận thay đổi nhạy cảm</t>
        </is>
      </c>
      <c r="F530" s="10" t="inlineStr">
        <is>
          <t>ADMIN</t>
        </is>
      </c>
      <c r="G530" s="10" t="inlineStr">
        <is>
          <t>Tắt scheduler</t>
        </is>
      </c>
      <c r="H530" s="10" t="inlineStr">
        <is>
          <t>—</t>
        </is>
      </c>
      <c r="I530" s="10" t="inlineStr">
        <is>
          <t>Hộp thoại xác nhận nêu hệ quả trước khi thực hiện</t>
        </is>
      </c>
      <c r="J530" s="10" t="inlineStr">
        <is>
          <t>UI/UX</t>
        </is>
      </c>
      <c r="K530" s="10" t="inlineStr">
        <is>
          <t>P1 - Cao</t>
        </is>
      </c>
      <c r="L530" s="10" t="inlineStr">
        <is>
          <t>FR-GW-FE-004</t>
        </is>
      </c>
      <c r="M530" s="11" t="inlineStr">
        <is>
          <t>Chưa chạy</t>
        </is>
      </c>
      <c r="N530" s="11" t="inlineStr"/>
      <c r="O530" s="11" t="inlineStr"/>
      <c r="P530" s="11" t="inlineStr"/>
    </row>
    <row r="531">
      <c r="A531" s="10" t="n">
        <v>530</v>
      </c>
      <c r="B531" s="10" t="inlineStr">
        <is>
          <t>TC-GW-E2E-005</t>
        </is>
      </c>
      <c r="C531" s="10" t="inlineStr">
        <is>
          <t>Gateway &amp; Config</t>
        </is>
      </c>
      <c r="D531" s="10" t="inlineStr">
        <is>
          <t>E2E (UI) — Cấu hình hệ thống</t>
        </is>
      </c>
      <c r="E531" s="10" t="inlineStr">
        <is>
          <t>Mật khẩu SMTP</t>
        </is>
      </c>
      <c r="F531" s="10" t="inlineStr">
        <is>
          <t>ADMIN</t>
        </is>
      </c>
      <c r="G531" s="10" t="inlineStr">
        <is>
          <t>Mở form SMTP</t>
        </is>
      </c>
      <c r="H531" s="10" t="inlineStr">
        <is>
          <t>—</t>
        </is>
      </c>
      <c r="I531" s="10" t="inlineStr">
        <is>
          <t>Hiển thị `••••••••`; chỉ gửi khi nhập mới; nút kiểm tra kết nối hoạt động</t>
        </is>
      </c>
      <c r="J531" s="10" t="inlineStr">
        <is>
          <t>Security</t>
        </is>
      </c>
      <c r="K531" s="10" t="inlineStr">
        <is>
          <t>P1 - Cao</t>
        </is>
      </c>
      <c r="L531" s="10" t="inlineStr">
        <is>
          <t>FR-GW-FE-005</t>
        </is>
      </c>
      <c r="M531" s="11" t="inlineStr">
        <is>
          <t>Chưa chạy</t>
        </is>
      </c>
      <c r="N531" s="11" t="inlineStr"/>
      <c r="O531" s="11" t="inlineStr"/>
      <c r="P531" s="11" t="inlineStr"/>
    </row>
    <row r="532">
      <c r="A532" s="10" t="n">
        <v>531</v>
      </c>
      <c r="B532" s="10" t="inlineStr">
        <is>
          <t>TC-GW-E2E-006</t>
        </is>
      </c>
      <c r="C532" s="10" t="inlineStr">
        <is>
          <t>Gateway &amp; Config</t>
        </is>
      </c>
      <c r="D532" s="10" t="inlineStr">
        <is>
          <t>E2E (UI) — Cấu hình hệ thống</t>
        </is>
      </c>
      <c r="E532" s="10" t="inlineStr">
        <is>
          <t>Cập nhật hiển thị sau khi lưu</t>
        </is>
      </c>
      <c r="F532" s="10" t="inlineStr">
        <is>
          <t>ADMIN</t>
        </is>
      </c>
      <c r="G532" s="10" t="inlineStr">
        <is>
          <t>Lưu một nhóm</t>
        </is>
      </c>
      <c r="H532" s="10" t="inlineStr">
        <is>
          <t>—</t>
        </is>
      </c>
      <c r="I532" s="10" t="inlineStr">
        <is>
          <t>Toast + giá trị lấy từ response, không giữ cache cũ</t>
        </is>
      </c>
      <c r="J532" s="10" t="inlineStr">
        <is>
          <t>Functional</t>
        </is>
      </c>
      <c r="K532" s="10" t="inlineStr">
        <is>
          <t>P2 - Trung bình</t>
        </is>
      </c>
      <c r="L532" s="10" t="inlineStr">
        <is>
          <t>FR-GW-FE-006</t>
        </is>
      </c>
      <c r="M532" s="11" t="inlineStr">
        <is>
          <t>Chưa chạy</t>
        </is>
      </c>
      <c r="N532" s="11" t="inlineStr"/>
      <c r="O532" s="11" t="inlineStr"/>
      <c r="P532" s="11" t="inlineStr"/>
    </row>
    <row r="533">
      <c r="A533" s="10" t="n">
        <v>532</v>
      </c>
      <c r="B533" s="10" t="inlineStr">
        <is>
          <t>TC-GW-E2E-007</t>
        </is>
      </c>
      <c r="C533" s="10" t="inlineStr">
        <is>
          <t>Gateway &amp; Config</t>
        </is>
      </c>
      <c r="D533" s="10" t="inlineStr">
        <is>
          <t>E2E (UI) — Cấu hình hệ thống</t>
        </is>
      </c>
      <c r="E533" s="10" t="inlineStr">
        <is>
          <t>Mất quyền giữa chừng</t>
        </is>
      </c>
      <c r="F533" s="10" t="inlineStr">
        <is>
          <t>ADMIN bị hạ quyền ở phiên khác</t>
        </is>
      </c>
      <c r="G533" s="10" t="inlineStr">
        <is>
          <t>Bấm Lưu</t>
        </is>
      </c>
      <c r="H533" s="10" t="inlineStr">
        <is>
          <t>—</t>
        </is>
      </c>
      <c r="I533" s="10" t="inlineStr">
        <is>
          <t>Nhận 403 → chuyển về Dashboard kèm thông báo</t>
        </is>
      </c>
      <c r="J533" s="10" t="inlineStr">
        <is>
          <t>Security</t>
        </is>
      </c>
      <c r="K533" s="10" t="inlineStr">
        <is>
          <t>P2 - Trung bình</t>
        </is>
      </c>
      <c r="L533" s="10" t="inlineStr">
        <is>
          <t>FR-GW-FE-007</t>
        </is>
      </c>
      <c r="M533" s="11" t="inlineStr">
        <is>
          <t>Chưa chạy</t>
        </is>
      </c>
      <c r="N533" s="11" t="inlineStr"/>
      <c r="O533" s="11" t="inlineStr"/>
      <c r="P533" s="11" t="inlineStr"/>
    </row>
  </sheetData>
  <autoFilter ref="A1:P533"/>
  <conditionalFormatting sqref="M2:M53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M2:M533" showDropDown="0" showInputMessage="0" showErrorMessage="0" allowBlank="1" type="list">
      <formula1>"Chưa chạy,Pass,Fail,Blocked,Skip"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16" customWidth="1" min="3" max="3"/>
    <col width="22" customWidth="1" min="4" max="4"/>
    <col width="34" customWidth="1" min="5" max="5"/>
    <col width="28" customWidth="1" min="6" max="6"/>
    <col width="40" customWidth="1" min="7" max="7"/>
    <col width="30" customWidth="1" min="8" max="8"/>
    <col width="46" customWidth="1" min="9" max="9"/>
    <col width="13" customWidth="1" min="10" max="10"/>
    <col width="12" customWidth="1" min="11" max="11"/>
    <col width="20" customWidth="1" min="12" max="12"/>
    <col width="12" customWidth="1" min="13" max="13"/>
    <col width="26" customWidth="1" min="14" max="14"/>
    <col width="12" customWidth="1" min="15" max="15"/>
    <col width="11" customWidth="1" min="16" max="16"/>
  </cols>
  <sheetData>
    <row r="1" ht="32" customHeight="1">
      <c r="A1" s="3" t="inlineStr">
        <is>
          <t>STT</t>
        </is>
      </c>
      <c r="B1" s="3" t="inlineStr">
        <is>
          <t>Mã TC</t>
        </is>
      </c>
      <c r="C1" s="3" t="inlineStr">
        <is>
          <t>Phân hệ</t>
        </is>
      </c>
      <c r="D1" s="3" t="inlineStr">
        <is>
          <t>Nhóm / Tầng</t>
        </is>
      </c>
      <c r="E1" s="3" t="inlineStr">
        <is>
          <t>Kịch bản kiểm thử</t>
        </is>
      </c>
      <c r="F1" s="3" t="inlineStr">
        <is>
          <t>Điều kiện tiên quyết</t>
        </is>
      </c>
      <c r="G1" s="3" t="inlineStr">
        <is>
          <t>Các bước thực hiện</t>
        </is>
      </c>
      <c r="H1" s="3" t="inlineStr">
        <is>
          <t>Dữ liệu kiểm thử</t>
        </is>
      </c>
      <c r="I1" s="3" t="inlineStr">
        <is>
          <t>Kết quả mong đợi</t>
        </is>
      </c>
      <c r="J1" s="3" t="inlineStr">
        <is>
          <t>Loại</t>
        </is>
      </c>
      <c r="K1" s="3" t="inlineStr">
        <is>
          <t>Ưu tiên</t>
        </is>
      </c>
      <c r="L1" s="3" t="inlineStr">
        <is>
          <t>Truy vết (FR/BR/UC)</t>
        </is>
      </c>
      <c r="M1" s="3" t="inlineStr">
        <is>
          <t>Trạng thái</t>
        </is>
      </c>
      <c r="N1" s="3" t="inlineStr">
        <is>
          <t>Kết quả thực tế</t>
        </is>
      </c>
      <c r="O1" s="3" t="inlineStr">
        <is>
          <t>Người test</t>
        </is>
      </c>
      <c r="P1" s="3" t="inlineStr">
        <is>
          <t>Ngày test</t>
        </is>
      </c>
    </row>
    <row r="2">
      <c r="A2" s="10" t="n">
        <v>1</v>
      </c>
      <c r="B2" s="10" t="inlineStr">
        <is>
          <t>TC-AUTH-BE-01</t>
        </is>
      </c>
      <c r="C2" s="10" t="inlineStr">
        <is>
          <t>01 Xác thực</t>
        </is>
      </c>
      <c r="D2" s="10" t="inlineStr">
        <is>
          <t>Backend — Backend Test Cases (API, Security &amp; Database)</t>
        </is>
      </c>
      <c r="E2" s="10" t="inlineStr">
        <is>
          <t>Đăng nhập thành công với tài khoản ADMIN</t>
        </is>
      </c>
      <c r="F2" s="10" t="inlineStr">
        <is>
          <t>Tài khoản `admin` đã tồn tại trong bảng `Users`</t>
        </is>
      </c>
      <c r="G2" s="10" t="inlineStr">
        <is>
          <t>Gửi request `POST /api/auth/login`</t>
        </is>
      </c>
      <c r="H2" s="10" t="inlineStr">
        <is>
          <t>Body:
`{ "username": "admin", "password": "secret123" }`</t>
        </is>
      </c>
      <c r="I2" s="10" t="inlineStr">
        <is>
          <t>- Trả về `HTTP 200 OK`
- Response body chứa `accessToken` và thông tin user (`role: "ADMIN"`) dạng JSON.
- Response header chứa `Set-Cookie` cho `refresh_token` (thuộc tính `HttpOnly`, `Secure`, `SameSite=Strict`).</t>
        </is>
      </c>
      <c r="J2" s="10" t="inlineStr">
        <is>
          <t>Functional / Security</t>
        </is>
      </c>
      <c r="K2" s="10" t="inlineStr"/>
      <c r="L2" s="10" t="inlineStr"/>
      <c r="M2" s="11" t="inlineStr">
        <is>
          <t>Chưa chạy</t>
        </is>
      </c>
      <c r="N2" s="11" t="inlineStr"/>
      <c r="O2" s="11" t="inlineStr"/>
      <c r="P2" s="11" t="inlineStr"/>
    </row>
    <row r="3">
      <c r="A3" s="10" t="n">
        <v>2</v>
      </c>
      <c r="B3" s="10" t="inlineStr">
        <is>
          <t>TC-AUTH-BE-02</t>
        </is>
      </c>
      <c r="C3" s="10" t="inlineStr">
        <is>
          <t>01 Xác thực</t>
        </is>
      </c>
      <c r="D3" s="10" t="inlineStr">
        <is>
          <t>Backend — Backend Test Cases (API, Security &amp; Database)</t>
        </is>
      </c>
      <c r="E3" s="10" t="inlineStr">
        <is>
          <t>Đăng nhập thất bại do sai mật khẩu</t>
        </is>
      </c>
      <c r="F3" s="10" t="inlineStr">
        <is>
          <t>Tài khoản `admin` đã tồn tại</t>
        </is>
      </c>
      <c r="G3" s="10" t="inlineStr">
        <is>
          <t>Gửi request `POST /api/auth/login` với mật khẩu sai</t>
        </is>
      </c>
      <c r="H3" s="10" t="inlineStr">
        <is>
          <t>Body:
`{ "username": "admin", "password": "wrongpassword" }`</t>
        </is>
      </c>
      <c r="I3" s="10" t="inlineStr">
        <is>
          <t>- Trả về `HTTP 401 Unauthorized`
- Response body chứa lỗi dạng JSON: `{ "error": "Invalid credentials" }`
- Không có set Cookie refresh token.</t>
        </is>
      </c>
      <c r="J3" s="10" t="inlineStr">
        <is>
          <t>Functional / Validation</t>
        </is>
      </c>
      <c r="K3" s="10" t="inlineStr"/>
      <c r="L3" s="10" t="inlineStr"/>
      <c r="M3" s="11" t="inlineStr">
        <is>
          <t>Chưa chạy</t>
        </is>
      </c>
      <c r="N3" s="11" t="inlineStr"/>
      <c r="O3" s="11" t="inlineStr"/>
      <c r="P3" s="11" t="inlineStr"/>
    </row>
    <row r="4">
      <c r="A4" s="10" t="n">
        <v>3</v>
      </c>
      <c r="B4" s="10" t="inlineStr">
        <is>
          <t>TC-AUTH-BE-03</t>
        </is>
      </c>
      <c r="C4" s="10" t="inlineStr">
        <is>
          <t>01 Xác thực</t>
        </is>
      </c>
      <c r="D4" s="10" t="inlineStr">
        <is>
          <t>Backend — Backend Test Cases (API, Security &amp; Database)</t>
        </is>
      </c>
      <c r="E4" s="10" t="inlineStr">
        <is>
          <t>Đăng nhập thất bại do tài khoản bị vô hiệu hóa</t>
        </is>
      </c>
      <c r="F4" s="10" t="inlineStr">
        <is>
          <t>Tài khoản `admin` có cột `is_active = 0` trong DB</t>
        </is>
      </c>
      <c r="G4" s="10" t="inlineStr">
        <is>
          <t>Gửi request `POST /api/auth/login`</t>
        </is>
      </c>
      <c r="H4" s="10" t="inlineStr">
        <is>
          <t>Body:
`{ "username": "admin", "password": "secret123" }`</t>
        </is>
      </c>
      <c r="I4" s="10" t="inlineStr">
        <is>
          <t>- Trả về `HTTP 401 Unauthorized`
- Response body thông báo tài khoản bị khóa hoặc không hợp lệ.</t>
        </is>
      </c>
      <c r="J4" s="10" t="inlineStr">
        <is>
          <t>Functional / Security</t>
        </is>
      </c>
      <c r="K4" s="10" t="inlineStr"/>
      <c r="L4" s="10" t="inlineStr"/>
      <c r="M4" s="11" t="inlineStr">
        <is>
          <t>Chưa chạy</t>
        </is>
      </c>
      <c r="N4" s="11" t="inlineStr"/>
      <c r="O4" s="11" t="inlineStr"/>
      <c r="P4" s="11" t="inlineStr"/>
    </row>
    <row r="5">
      <c r="A5" s="10" t="n">
        <v>4</v>
      </c>
      <c r="B5" s="10" t="inlineStr">
        <is>
          <t>TC-AUTH-BE-04</t>
        </is>
      </c>
      <c r="C5" s="10" t="inlineStr">
        <is>
          <t>01 Xác thực</t>
        </is>
      </c>
      <c r="D5" s="10" t="inlineStr">
        <is>
          <t>Backend — Backend Test Cases (API, Security &amp; Database)</t>
        </is>
      </c>
      <c r="E5" s="10" t="inlineStr">
        <is>
          <t>Đăng nhập thất bại do gửi thiếu trường bắt buộc</t>
        </is>
      </c>
      <c r="F5" s="10" t="inlineStr">
        <is>
          <t>Hệ thống đang chạy</t>
        </is>
      </c>
      <c r="G5" s="10" t="inlineStr">
        <is>
          <t>Gửi request `POST /api/auth/login` thiếu password hoặc username</t>
        </is>
      </c>
      <c r="H5" s="10" t="inlineStr">
        <is>
          <t>Body:
`{ "username": "admin" }`</t>
        </is>
      </c>
      <c r="I5" s="10" t="inlineStr">
        <is>
          <t>- Trả về `HTTP 400 Bad Request`
- Response body trả lỗi validation của Spring.</t>
        </is>
      </c>
      <c r="J5" s="10" t="inlineStr">
        <is>
          <t>Validation</t>
        </is>
      </c>
      <c r="K5" s="10" t="inlineStr"/>
      <c r="L5" s="10" t="inlineStr"/>
      <c r="M5" s="11" t="inlineStr">
        <is>
          <t>Chưa chạy</t>
        </is>
      </c>
      <c r="N5" s="11" t="inlineStr"/>
      <c r="O5" s="11" t="inlineStr"/>
      <c r="P5" s="11" t="inlineStr"/>
    </row>
    <row r="6">
      <c r="A6" s="10" t="n">
        <v>5</v>
      </c>
      <c r="B6" s="10" t="inlineStr">
        <is>
          <t>TC-AUTH-BE-05</t>
        </is>
      </c>
      <c r="C6" s="10" t="inlineStr">
        <is>
          <t>01 Xác thực</t>
        </is>
      </c>
      <c r="D6" s="10" t="inlineStr">
        <is>
          <t>Backend — Backend Test Cases (API, Security &amp; Database)</t>
        </is>
      </c>
      <c r="E6" s="10" t="inlineStr">
        <is>
          <t>Refresh Token thành công khi Access Token hết hạn</t>
        </is>
      </c>
      <c r="F6" s="10" t="inlineStr">
        <is>
          <t>Người dùng đã đăng nhập, trình duyệt đang lưu `refresh_token` hợp lệ trong cookie</t>
        </is>
      </c>
      <c r="G6" s="10" t="inlineStr">
        <is>
          <t>Gửi request `POST /api/auth/refresh`</t>
        </is>
      </c>
      <c r="H6" s="10" t="inlineStr">
        <is>
          <t>Cookie:
`refresh_token=&lt;opaque_string&gt;`</t>
        </is>
      </c>
      <c r="I6" s="10" t="inlineStr">
        <is>
          <t>- Trả về `HTTP 200 OK`
- Response body chứa một `accessToken` mới và `expiresIn: 3600`.</t>
        </is>
      </c>
      <c r="J6" s="10" t="inlineStr">
        <is>
          <t>Functional / Security</t>
        </is>
      </c>
      <c r="K6" s="10" t="inlineStr"/>
      <c r="L6" s="10" t="inlineStr"/>
      <c r="M6" s="11" t="inlineStr">
        <is>
          <t>Chưa chạy</t>
        </is>
      </c>
      <c r="N6" s="11" t="inlineStr"/>
      <c r="O6" s="11" t="inlineStr"/>
      <c r="P6" s="11" t="inlineStr"/>
    </row>
    <row r="7">
      <c r="A7" s="10" t="n">
        <v>6</v>
      </c>
      <c r="B7" s="10" t="inlineStr">
        <is>
          <t>TC-AUTH-BE-06</t>
        </is>
      </c>
      <c r="C7" s="10" t="inlineStr">
        <is>
          <t>01 Xác thực</t>
        </is>
      </c>
      <c r="D7" s="10" t="inlineStr">
        <is>
          <t>Backend — Backend Test Cases (API, Security &amp; Database)</t>
        </is>
      </c>
      <c r="E7" s="10" t="inlineStr">
        <is>
          <t>Refresh Token thất bại do token hết hạn hoặc không hợp lệ</t>
        </is>
      </c>
      <c r="F7" s="10" t="inlineStr">
        <is>
          <t>Trình duyệt gửi cookie `refresh_token` đã hết hạn hoặc bị sửa đổi</t>
        </is>
      </c>
      <c r="G7" s="10" t="inlineStr">
        <is>
          <t>Gửi request `POST /api/auth/refresh`</t>
        </is>
      </c>
      <c r="H7" s="10" t="inlineStr">
        <is>
          <t>Cookie:
`refresh_token=invalid-or-expired-token`</t>
        </is>
      </c>
      <c r="I7" s="10" t="inlineStr">
        <is>
          <t>- Trả về `HTTP 401 Unauthorized`
- Response body trả lỗi refresh token không hợp lệ.</t>
        </is>
      </c>
      <c r="J7" s="10" t="inlineStr">
        <is>
          <t>Functional / Security</t>
        </is>
      </c>
      <c r="K7" s="10" t="inlineStr"/>
      <c r="L7" s="10" t="inlineStr"/>
      <c r="M7" s="11" t="inlineStr">
        <is>
          <t>Chưa chạy</t>
        </is>
      </c>
      <c r="N7" s="11" t="inlineStr"/>
      <c r="O7" s="11" t="inlineStr"/>
      <c r="P7" s="11" t="inlineStr"/>
    </row>
    <row r="8">
      <c r="A8" s="10" t="n">
        <v>7</v>
      </c>
      <c r="B8" s="10" t="inlineStr">
        <is>
          <t>TC-AUTH-BE-07</t>
        </is>
      </c>
      <c r="C8" s="10" t="inlineStr">
        <is>
          <t>01 Xác thực</t>
        </is>
      </c>
      <c r="D8" s="10" t="inlineStr">
        <is>
          <t>Backend — Backend Test Cases (API, Security &amp; Database)</t>
        </is>
      </c>
      <c r="E8" s="10" t="inlineStr">
        <is>
          <t>Đăng xuất thành công và vô hiệu hóa tokens</t>
        </is>
      </c>
      <c r="F8" s="10" t="inlineStr">
        <is>
          <t>Trình duyệt có `accessToken` hợp lệ ở Header và `refresh_token` trong cookie</t>
        </is>
      </c>
      <c r="G8" s="10" t="inlineStr">
        <is>
          <t>Gửi request `POST /api/auth/logout`</t>
        </is>
      </c>
      <c r="H8" s="10" t="inlineStr">
        <is>
          <t>Header:
`Authorization: Bearer &lt;token&gt;`
Cookie: `refresh_token=&lt;token&gt;`</t>
        </is>
      </c>
      <c r="I8" s="10" t="inlineStr">
        <is>
          <t>- Trả về `HTTP 204 No Content`
- Refresh Token bị xóa khỏi database/Redis.
- Response header gửi lệnh xóa cookie `refresh_token` ở client.</t>
        </is>
      </c>
      <c r="J8" s="10" t="inlineStr">
        <is>
          <t>Functional / Security</t>
        </is>
      </c>
      <c r="K8" s="10" t="inlineStr"/>
      <c r="L8" s="10" t="inlineStr"/>
      <c r="M8" s="11" t="inlineStr">
        <is>
          <t>Chưa chạy</t>
        </is>
      </c>
      <c r="N8" s="11" t="inlineStr"/>
      <c r="O8" s="11" t="inlineStr"/>
      <c r="P8" s="11" t="inlineStr"/>
    </row>
    <row r="9">
      <c r="A9" s="10" t="n">
        <v>8</v>
      </c>
      <c r="B9" s="10" t="inlineStr">
        <is>
          <t>TC-AUTH-BE-08</t>
        </is>
      </c>
      <c r="C9" s="10" t="inlineStr">
        <is>
          <t>01 Xác thực</t>
        </is>
      </c>
      <c r="D9" s="10" t="inlineStr">
        <is>
          <t>Backend — Backend Test Cases (API, Security &amp; Database)</t>
        </is>
      </c>
      <c r="E9" s="10" t="inlineStr">
        <is>
          <t>Truy cập endpoint công khai không cần token</t>
        </is>
      </c>
      <c r="F9" s="10" t="inlineStr">
        <is>
          <t>Hệ thống đang chạy</t>
        </is>
      </c>
      <c r="G9" s="10" t="inlineStr">
        <is>
          <t>Gửi request `GET /actuator/health` hoặc các endpoint `/api/auth/`</t>
        </is>
      </c>
      <c r="H9" s="10" t="inlineStr">
        <is>
          <t>Không có Header Authorization</t>
        </is>
      </c>
      <c r="I9" s="10" t="inlineStr">
        <is>
          <t>- Trả về `HTTP 200 OK` với dữ liệu sức khỏe dịch vụ.</t>
        </is>
      </c>
      <c r="J9" s="10" t="inlineStr">
        <is>
          <t>Functional</t>
        </is>
      </c>
      <c r="K9" s="10" t="inlineStr"/>
      <c r="L9" s="10" t="inlineStr"/>
      <c r="M9" s="11" t="inlineStr">
        <is>
          <t>Chưa chạy</t>
        </is>
      </c>
      <c r="N9" s="11" t="inlineStr"/>
      <c r="O9" s="11" t="inlineStr"/>
      <c r="P9" s="11" t="inlineStr"/>
    </row>
    <row r="10">
      <c r="A10" s="10" t="n">
        <v>9</v>
      </c>
      <c r="B10" s="10" t="inlineStr">
        <is>
          <t>TC-AUTH-BE-09</t>
        </is>
      </c>
      <c r="C10" s="10" t="inlineStr">
        <is>
          <t>01 Xác thực</t>
        </is>
      </c>
      <c r="D10" s="10" t="inlineStr">
        <is>
          <t>Backend — Backend Test Cases (API, Security &amp; Database)</t>
        </is>
      </c>
      <c r="E10" s="10" t="inlineStr">
        <is>
          <t>Chặn truy cập endpoint bảo vệ khi không có token</t>
        </is>
      </c>
      <c r="F10" s="10" t="inlineStr">
        <is>
          <t>Người dùng chưa đăng nhập</t>
        </is>
      </c>
      <c r="G10" s="10" t="inlineStr">
        <is>
          <t>Gửi request tới một endpoint bảo vệ như `GET /api/nodes`</t>
        </is>
      </c>
      <c r="H10" s="10" t="inlineStr">
        <is>
          <t>Không có Header Authorization</t>
        </is>
      </c>
      <c r="I10" s="10" t="inlineStr">
        <is>
          <t>- Trả về `HTTP 401 Unauthorized`.</t>
        </is>
      </c>
      <c r="J10" s="10" t="inlineStr">
        <is>
          <t>Security</t>
        </is>
      </c>
      <c r="K10" s="10" t="inlineStr"/>
      <c r="L10" s="10" t="inlineStr"/>
      <c r="M10" s="11" t="inlineStr">
        <is>
          <t>Chưa chạy</t>
        </is>
      </c>
      <c r="N10" s="11" t="inlineStr"/>
      <c r="O10" s="11" t="inlineStr"/>
      <c r="P10" s="11" t="inlineStr"/>
    </row>
    <row r="11">
      <c r="A11" s="10" t="n">
        <v>10</v>
      </c>
      <c r="B11" s="10" t="inlineStr">
        <is>
          <t>TC-AUTH-BE-10</t>
        </is>
      </c>
      <c r="C11" s="10" t="inlineStr">
        <is>
          <t>01 Xác thực</t>
        </is>
      </c>
      <c r="D11" s="10" t="inlineStr">
        <is>
          <t>Backend — Backend Test Cases (API, Security &amp; Database)</t>
        </is>
      </c>
      <c r="E11" s="10" t="inlineStr">
        <is>
          <t>Phân quyền ADMIN (ROLE_ADMIN) thực hiện hành động ghi dữ liệu</t>
        </is>
      </c>
      <c r="F11" s="10" t="inlineStr">
        <is>
          <t>Tài khoản có vai trò `ROLE_ADMIN` đã đăng nhập</t>
        </is>
      </c>
      <c r="G11" s="10" t="inlineStr">
        <is>
          <t>Gửi request `POST /api/nodes`</t>
        </is>
      </c>
      <c r="H11" s="10" t="inlineStr">
        <is>
          <t>Header:
`Authorization: Bearer &lt;admin_token&gt;`</t>
        </is>
      </c>
      <c r="I11" s="10" t="inlineStr">
        <is>
          <t>- Trả về `HTTP 201 Created`.</t>
        </is>
      </c>
      <c r="J11" s="10" t="inlineStr">
        <is>
          <t>Security</t>
        </is>
      </c>
      <c r="K11" s="10" t="inlineStr"/>
      <c r="L11" s="10" t="inlineStr"/>
      <c r="M11" s="11" t="inlineStr">
        <is>
          <t>Chưa chạy</t>
        </is>
      </c>
      <c r="N11" s="11" t="inlineStr"/>
      <c r="O11" s="11" t="inlineStr"/>
      <c r="P11" s="11" t="inlineStr"/>
    </row>
    <row r="12">
      <c r="A12" s="10" t="n">
        <v>11</v>
      </c>
      <c r="B12" s="10" t="inlineStr">
        <is>
          <t>TC-AUTH-BE-11</t>
        </is>
      </c>
      <c r="C12" s="10" t="inlineStr">
        <is>
          <t>01 Xác thực</t>
        </is>
      </c>
      <c r="D12" s="10" t="inlineStr">
        <is>
          <t>Backend — Backend Test Cases (API, Security &amp; Database)</t>
        </is>
      </c>
      <c r="E12" s="10" t="inlineStr">
        <is>
          <t>Phân quyền VIEWER (ROLE_VIEWER) cố gắng thực hiện hành động ghi dữ liệu</t>
        </is>
      </c>
      <c r="F12" s="10" t="inlineStr">
        <is>
          <t>Tài khoản có vai trò `ROLE_VIEWER` đã đăng nhập</t>
        </is>
      </c>
      <c r="G12" s="10" t="inlineStr">
        <is>
          <t>Gửi request `POST /api/nodes` để thêm node</t>
        </is>
      </c>
      <c r="H12" s="10" t="inlineStr">
        <is>
          <t>Header:
`Authorization: Bearer &lt;viewer_token&gt;`</t>
        </is>
      </c>
      <c r="I12" s="10" t="inlineStr">
        <is>
          <t>- Trả về `HTTP 403 Forbidden` (Bị cấm quyền).</t>
        </is>
      </c>
      <c r="J12" s="10" t="inlineStr">
        <is>
          <t>Security</t>
        </is>
      </c>
      <c r="K12" s="10" t="inlineStr"/>
      <c r="L12" s="10" t="inlineStr"/>
      <c r="M12" s="11" t="inlineStr">
        <is>
          <t>Chưa chạy</t>
        </is>
      </c>
      <c r="N12" s="11" t="inlineStr"/>
      <c r="O12" s="11" t="inlineStr"/>
      <c r="P12" s="11" t="inlineStr"/>
    </row>
    <row r="13">
      <c r="A13" s="10" t="n">
        <v>12</v>
      </c>
      <c r="B13" s="10" t="inlineStr">
        <is>
          <t>TC-AUTH-BE-12</t>
        </is>
      </c>
      <c r="C13" s="10" t="inlineStr">
        <is>
          <t>01 Xác thực</t>
        </is>
      </c>
      <c r="D13" s="10" t="inlineStr">
        <is>
          <t>Backend — Backend Test Cases (API, Security &amp; Database)</t>
        </is>
      </c>
      <c r="E13" s="10" t="inlineStr">
        <is>
          <t>Phân quyền VIEWER truy cập endpoint chỉ đọc</t>
        </is>
      </c>
      <c r="F13" s="10" t="inlineStr">
        <is>
          <t>Tài khoản có vai trò `ROLE_VIEWER` đã đăng nhập</t>
        </is>
      </c>
      <c r="G13" s="10" t="inlineStr">
        <is>
          <t>Gửi request `GET /api/nodes` hoặc `GET /api/incidents`</t>
        </is>
      </c>
      <c r="H13" s="10" t="inlineStr">
        <is>
          <t>Header:
`Authorization: Bearer &lt;viewer_token&gt;`</t>
        </is>
      </c>
      <c r="I13" s="10" t="inlineStr">
        <is>
          <t>- Trả về `HTTP 200 OK` và danh sách dữ liệu.</t>
        </is>
      </c>
      <c r="J13" s="10" t="inlineStr">
        <is>
          <t>Security</t>
        </is>
      </c>
      <c r="K13" s="10" t="inlineStr"/>
      <c r="L13" s="10" t="inlineStr"/>
      <c r="M13" s="11" t="inlineStr">
        <is>
          <t>Chưa chạy</t>
        </is>
      </c>
      <c r="N13" s="11" t="inlineStr"/>
      <c r="O13" s="11" t="inlineStr"/>
      <c r="P13" s="11" t="inlineStr"/>
    </row>
    <row r="14">
      <c r="A14" s="10" t="n">
        <v>13</v>
      </c>
      <c r="B14" s="10" t="inlineStr">
        <is>
          <t>TC-AUTH-BE-13</t>
        </is>
      </c>
      <c r="C14" s="10" t="inlineStr">
        <is>
          <t>01 Xác thực</t>
        </is>
      </c>
      <c r="D14" s="10" t="inlineStr">
        <is>
          <t>Backend — Backend Test Cases (API, Security &amp; Database)</t>
        </is>
      </c>
      <c r="E14" s="10" t="inlineStr">
        <is>
          <t>Rate Limiting trên endpoint Login</t>
        </is>
      </c>
      <c r="F14" s="10" t="inlineStr">
        <is>
          <t>Hệ thống đang chạy</t>
        </is>
      </c>
      <c r="G14" s="10" t="inlineStr">
        <is>
          <t>Gửi request `POST /api/auth/login` liên tục &gt; 10 lần trong vòng 1 phút từ 1 IP</t>
        </is>
      </c>
      <c r="H14" s="10" t="inlineStr">
        <is>
          <t>Body login ngẫu nhiên</t>
        </is>
      </c>
      <c r="I14" s="10" t="inlineStr">
        <is>
          <t>- Lần thứ 11 trả về `HTTP 429 Too Many Requests`.</t>
        </is>
      </c>
      <c r="J14" s="10" t="inlineStr">
        <is>
          <t>Security / Performance</t>
        </is>
      </c>
      <c r="K14" s="10" t="inlineStr"/>
      <c r="L14" s="10" t="inlineStr"/>
      <c r="M14" s="11" t="inlineStr">
        <is>
          <t>Chưa chạy</t>
        </is>
      </c>
      <c r="N14" s="11" t="inlineStr"/>
      <c r="O14" s="11" t="inlineStr"/>
      <c r="P14" s="11" t="inlineStr"/>
    </row>
    <row r="15">
      <c r="A15" s="10" t="n">
        <v>14</v>
      </c>
      <c r="B15" s="10" t="inlineStr">
        <is>
          <t>TC-AUTH-FE-01</t>
        </is>
      </c>
      <c r="C15" s="10" t="inlineStr">
        <is>
          <t>01 Xác thực</t>
        </is>
      </c>
      <c r="D15" s="10" t="inlineStr">
        <is>
          <t>Frontend — Frontend Test Cases (UI/UX, Local State &amp; Validation)</t>
        </is>
      </c>
      <c r="E15" s="10" t="inlineStr">
        <is>
          <t>Hiển thị giao diện trang Login</t>
        </is>
      </c>
      <c r="F15" s="10" t="inlineStr">
        <is>
          <t>Trình duyệt truy cập `/login`</t>
        </is>
      </c>
      <c r="G15" s="10" t="inlineStr">
        <is>
          <t>Xem cấu trúc giao diện trang đăng nhập</t>
        </is>
      </c>
      <c r="H15" s="10" t="inlineStr">
        <is>
          <t>N/A</t>
        </is>
      </c>
      <c r="I15" s="10" t="inlineStr">
        <is>
          <t>- Giao diện centered card gọn gàng, nền tối gradient.
- Có đầy đủ input Username, Password, nút "Đăng nhập".
- Có nút toggle hiện/ẩn mật khẩu ở cạnh ô Password.</t>
        </is>
      </c>
      <c r="J15" s="10" t="inlineStr">
        <is>
          <t>Functional</t>
        </is>
      </c>
      <c r="K15" s="10" t="inlineStr"/>
      <c r="L15" s="10" t="inlineStr"/>
      <c r="M15" s="11" t="inlineStr">
        <is>
          <t>Pass</t>
        </is>
      </c>
      <c r="N15" s="11" t="inlineStr"/>
      <c r="O15" s="11" t="inlineStr"/>
      <c r="P15" s="11" t="inlineStr"/>
    </row>
    <row r="16">
      <c r="A16" s="10" t="n">
        <v>15</v>
      </c>
      <c r="B16" s="10" t="inlineStr">
        <is>
          <t>TC-AUTH-FE-02</t>
        </is>
      </c>
      <c r="C16" s="10" t="inlineStr">
        <is>
          <t>01 Xác thực</t>
        </is>
      </c>
      <c r="D16" s="10" t="inlineStr">
        <is>
          <t>Frontend — Frontend Test Cases (UI/UX, Local State &amp; Validation)</t>
        </is>
      </c>
      <c r="E16" s="10" t="inlineStr">
        <is>
          <t>Validation dữ liệu tại Form đăng nhập</t>
        </is>
      </c>
      <c r="F16" s="10" t="inlineStr">
        <is>
          <t>Trang `/login` đang hiển thị</t>
        </is>
      </c>
      <c r="G16" s="10" t="inlineStr">
        <is>
          <t>Để trống các trường và nhấn "Đăng nhập"</t>
        </is>
      </c>
      <c r="H16" s="10" t="inlineStr">
        <is>
          <t>Username: `""`, Password: `""`</t>
        </is>
      </c>
      <c r="I16" s="10" t="inlineStr">
        <is>
          <t>- Trình duyệt báo lỗi input required hoặc UI hiển thị lỗi validation nội bộ.
- Nút "Đăng nhập" không kích hoạt request.</t>
        </is>
      </c>
      <c r="J16" s="10" t="inlineStr">
        <is>
          <t>Validation</t>
        </is>
      </c>
      <c r="K16" s="10" t="inlineStr"/>
      <c r="L16" s="10" t="inlineStr"/>
      <c r="M16" s="11" t="inlineStr">
        <is>
          <t>Pass</t>
        </is>
      </c>
      <c r="N16" s="11" t="inlineStr"/>
      <c r="O16" s="11" t="inlineStr"/>
      <c r="P16" s="11" t="inlineStr"/>
    </row>
    <row r="17">
      <c r="A17" s="10" t="n">
        <v>16</v>
      </c>
      <c r="B17" s="10" t="inlineStr">
        <is>
          <t>TC-AUTH-FE-03</t>
        </is>
      </c>
      <c r="C17" s="10" t="inlineStr">
        <is>
          <t>01 Xác thực</t>
        </is>
      </c>
      <c r="D17" s="10" t="inlineStr">
        <is>
          <t>Frontend — Frontend Test Cases (UI/UX, Local State &amp; Validation)</t>
        </is>
      </c>
      <c r="E17" s="10" t="inlineStr">
        <is>
          <t>Đăng nhập thành công ở Frontend (Mock Phase)</t>
        </is>
      </c>
      <c r="F17" s="10" t="inlineStr">
        <is>
          <t>Trang `/login` đang hiển thị</t>
        </is>
      </c>
      <c r="G17" s="10" t="inlineStr">
        <is>
          <t>Nhập tài khoản demo admin và nhấn "Đăng nhập"</t>
        </is>
      </c>
      <c r="H17" s="10" t="inlineStr">
        <is>
          <t>Username: `admin`, Password: `admin`</t>
        </is>
      </c>
      <c r="I17" s="10" t="inlineStr">
        <is>
          <t>- Nút "Đăng nhập" đổi thành "Đang xác thực..." và chuyển sang trạng thái disabled.
- Chuyển hướng thành công sang `/app/dashboard`.
- Hiển thị toast success báo "Đăng nhập thành công".
- Thông tin user và token được lưu vào React Context và `localStorage` (soe_user).</t>
        </is>
      </c>
      <c r="J17" s="10" t="inlineStr">
        <is>
          <t>Functional</t>
        </is>
      </c>
      <c r="K17" s="10" t="inlineStr"/>
      <c r="L17" s="10" t="inlineStr"/>
      <c r="M17" s="11" t="inlineStr">
        <is>
          <t>Pass</t>
        </is>
      </c>
      <c r="N17" s="11" t="inlineStr"/>
      <c r="O17" s="11" t="inlineStr"/>
      <c r="P17" s="11" t="inlineStr"/>
    </row>
    <row r="18">
      <c r="A18" s="10" t="n">
        <v>17</v>
      </c>
      <c r="B18" s="10" t="inlineStr">
        <is>
          <t>TC-AUTH-FE-04</t>
        </is>
      </c>
      <c r="C18" s="10" t="inlineStr">
        <is>
          <t>01 Xác thực</t>
        </is>
      </c>
      <c r="D18" s="10" t="inlineStr">
        <is>
          <t>Frontend — Frontend Test Cases (UI/UX, Local State &amp; Validation)</t>
        </is>
      </c>
      <c r="E18" s="10" t="inlineStr">
        <is>
          <t>Đăng nhập thất bại ở Frontend (Mock Phase)</t>
        </is>
      </c>
      <c r="F18" s="10" t="inlineStr">
        <is>
          <t>Trang `/login` đang hiển thị</t>
        </is>
      </c>
      <c r="G18" s="10" t="inlineStr">
        <is>
          <t>Nhập sai tài khoản demo và nhấn "Đăng nhập"</t>
        </is>
      </c>
      <c r="H18" s="10" t="inlineStr">
        <is>
          <t>Username: `admin`, Password: `sai`</t>
        </is>
      </c>
      <c r="I18" s="10" t="inlineStr">
        <is>
          <t>- Hiển thị thông báo lỗi màu đỏ nội dòng dưới form: "Tên đăng nhập hoặc mật khẩu không đúng."</t>
        </is>
      </c>
      <c r="J18" s="10" t="inlineStr">
        <is>
          <t>Functional</t>
        </is>
      </c>
      <c r="K18" s="10" t="inlineStr"/>
      <c r="L18" s="10" t="inlineStr"/>
      <c r="M18" s="11" t="inlineStr">
        <is>
          <t>Pass</t>
        </is>
      </c>
      <c r="N18" s="11" t="inlineStr"/>
      <c r="O18" s="11" t="inlineStr"/>
      <c r="P18" s="11" t="inlineStr"/>
    </row>
    <row r="19">
      <c r="A19" s="10" t="n">
        <v>18</v>
      </c>
      <c r="B19" s="10" t="inlineStr">
        <is>
          <t>TC-AUTH-FE-05</t>
        </is>
      </c>
      <c r="C19" s="10" t="inlineStr">
        <is>
          <t>01 Xác thực</t>
        </is>
      </c>
      <c r="D19" s="10" t="inlineStr">
        <is>
          <t>Frontend — Frontend Test Cases (UI/UX, Local State &amp; Validation)</t>
        </is>
      </c>
      <c r="E19" s="10" t="inlineStr">
        <is>
          <t>Khôi phục session khi reload trang</t>
        </is>
      </c>
      <c r="F19" s="10" t="inlineStr">
        <is>
          <t>Người dùng đã đăng nhập thành công trước đó</t>
        </is>
      </c>
      <c r="G19" s="10" t="inlineStr">
        <is>
          <t>Nhấn nút reload (F5) của trình duyệt</t>
        </is>
      </c>
      <c r="H19" s="10" t="inlineStr">
        <is>
          <t>N/A</t>
        </is>
      </c>
      <c r="I19" s="10" t="inlineStr">
        <is>
          <t>- Hệ thống tự động đọc thông tin user từ `localStorage` (hoặc cookie ở phase API).
- Không bắt người dùng đăng nhập lại, giữ nguyên trang hiện tại.</t>
        </is>
      </c>
      <c r="J19" s="10" t="inlineStr">
        <is>
          <t>Functional</t>
        </is>
      </c>
      <c r="K19" s="10" t="inlineStr"/>
      <c r="L19" s="10" t="inlineStr"/>
      <c r="M19" s="11" t="inlineStr">
        <is>
          <t>Pass</t>
        </is>
      </c>
      <c r="N19" s="11" t="inlineStr"/>
      <c r="O19" s="11" t="inlineStr"/>
      <c r="P19" s="11" t="inlineStr"/>
    </row>
    <row r="20">
      <c r="A20" s="10" t="n">
        <v>19</v>
      </c>
      <c r="B20" s="10" t="inlineStr">
        <is>
          <t>TC-AUTH-FE-06</t>
        </is>
      </c>
      <c r="C20" s="10" t="inlineStr">
        <is>
          <t>01 Xác thực</t>
        </is>
      </c>
      <c r="D20" s="10" t="inlineStr">
        <is>
          <t>Frontend — Frontend Test Cases (UI/UX, Local State &amp; Validation)</t>
        </is>
      </c>
      <c r="E20" s="10" t="inlineStr">
        <is>
          <t>Cơ chế PrivateRoute chặn truy cập trực tiếp</t>
        </is>
      </c>
      <c r="F20" s="10" t="inlineStr">
        <is>
          <t>Người dùng chưa đăng nhập (không có token/session)</t>
        </is>
      </c>
      <c r="G20" s="10" t="inlineStr">
        <is>
          <t>Nhập trực tiếp URL `/app/dashboard` hoặc `/app/nodes` trên thanh địa chỉ</t>
        </is>
      </c>
      <c r="H20" s="10" t="inlineStr">
        <is>
          <t>N/A</t>
        </is>
      </c>
      <c r="I20" s="10" t="inlineStr">
        <is>
          <t>- Ứng dụng tự động điều hướng người dùng về trang `/login`.
- Lịch sử duyệt web (browser history) bị thay thế (`replace`), nhấn back không quay lại được.</t>
        </is>
      </c>
      <c r="J20" s="10" t="inlineStr">
        <is>
          <t>Functional / Security</t>
        </is>
      </c>
      <c r="K20" s="10" t="inlineStr"/>
      <c r="L20" s="10" t="inlineStr"/>
      <c r="M20" s="11" t="inlineStr">
        <is>
          <t>Pass</t>
        </is>
      </c>
      <c r="N20" s="11" t="inlineStr"/>
      <c r="O20" s="11" t="inlineStr"/>
      <c r="P20" s="11" t="inlineStr"/>
    </row>
    <row r="21">
      <c r="A21" s="10" t="n">
        <v>20</v>
      </c>
      <c r="B21" s="10" t="inlineStr">
        <is>
          <t>TC-AUTH-FE-07</t>
        </is>
      </c>
      <c r="C21" s="10" t="inlineStr">
        <is>
          <t>01 Xác thực</t>
        </is>
      </c>
      <c r="D21" s="10" t="inlineStr">
        <is>
          <t>Frontend — Frontend Test Cases (UI/UX, Local State &amp; Validation)</t>
        </is>
      </c>
      <c r="E21" s="10" t="inlineStr">
        <is>
          <t>Phân quyền hiển thị Menu / Nút thao tác (ROLE_ADMIN)</t>
        </is>
      </c>
      <c r="F21" s="10" t="inlineStr">
        <is>
          <t>Đăng nhập bằng tài khoản `admin` (ROLE_ADMIN)</t>
        </is>
      </c>
      <c r="G21" s="10" t="inlineStr">
        <is>
          <t>Xem Menu Sidebar và danh sách các Node</t>
        </is>
      </c>
      <c r="H21" s="10" t="inlineStr">
        <is>
          <t>Username: `admin`</t>
        </is>
      </c>
      <c r="I21" s="10" t="inlineStr">
        <is>
          <t>- Sidebar hiển thị đầy đủ các mục: Alert Channels, Audit Logs.
- Các bảng danh sách hiển thị nút Thêm Node, Xóa Node, Resolve/Acknowledge Incident, nút quét khẩn cấp.</t>
        </is>
      </c>
      <c r="J21" s="10" t="inlineStr">
        <is>
          <t>Security / Functional</t>
        </is>
      </c>
      <c r="K21" s="10" t="inlineStr"/>
      <c r="L21" s="10" t="inlineStr"/>
      <c r="M21" s="11" t="inlineStr">
        <is>
          <t>Pass</t>
        </is>
      </c>
      <c r="N21" s="11" t="inlineStr"/>
      <c r="O21" s="11" t="inlineStr"/>
      <c r="P21" s="11" t="inlineStr"/>
    </row>
    <row r="22">
      <c r="A22" s="10" t="n">
        <v>21</v>
      </c>
      <c r="B22" s="10" t="inlineStr">
        <is>
          <t>TC-AUTH-FE-08</t>
        </is>
      </c>
      <c r="C22" s="10" t="inlineStr">
        <is>
          <t>01 Xác thực</t>
        </is>
      </c>
      <c r="D22" s="10" t="inlineStr">
        <is>
          <t>Frontend — Frontend Test Cases (UI/UX, Local State &amp; Validation)</t>
        </is>
      </c>
      <c r="E22" s="10" t="inlineStr">
        <is>
          <t>Phân quyền hiển thị Menu / Nút thao tác (ROLE_VIEWER)</t>
        </is>
      </c>
      <c r="F22" s="10" t="inlineStr">
        <is>
          <t>Đăng nhập bằng tài khoản `viewer` (ROLE_VIEWER)</t>
        </is>
      </c>
      <c r="G22" s="10" t="inlineStr">
        <is>
          <t>Xem Menu Sidebar và danh sách các Node</t>
        </is>
      </c>
      <c r="H22" s="10" t="inlineStr">
        <is>
          <t>Username: `viewer`</t>
        </is>
      </c>
      <c r="I22" s="10" t="inlineStr">
        <is>
          <t>- Sidebar ẩn các mục: Alert Channels, Audit Logs.
- Bảng danh sách KHÔNG hiển thị các nút Thêm Node, Xóa Node, Resolve/Acknowledge Incident, nút quét khẩn cấp (không render chứ không chỉ disable).</t>
        </is>
      </c>
      <c r="J22" s="10" t="inlineStr">
        <is>
          <t>Security / Functional</t>
        </is>
      </c>
      <c r="K22" s="10" t="inlineStr"/>
      <c r="L22" s="10" t="inlineStr"/>
      <c r="M22" s="11" t="inlineStr">
        <is>
          <t>Pass</t>
        </is>
      </c>
      <c r="N22" s="11" t="inlineStr"/>
      <c r="O22" s="11" t="inlineStr"/>
      <c r="P22" s="11" t="inlineStr"/>
    </row>
    <row r="23">
      <c r="A23" s="10" t="n">
        <v>22</v>
      </c>
      <c r="B23" s="10" t="inlineStr">
        <is>
          <t>TC-AUTH-FE-09</t>
        </is>
      </c>
      <c r="C23" s="10" t="inlineStr">
        <is>
          <t>01 Xác thực</t>
        </is>
      </c>
      <c r="D23" s="10" t="inlineStr">
        <is>
          <t>Frontend — Frontend Test Cases (UI/UX, Local State &amp; Validation)</t>
        </is>
      </c>
      <c r="E23" s="10" t="inlineStr">
        <is>
          <t>Xử lý chặn hành động bất hợp pháp của Viewer</t>
        </is>
      </c>
      <c r="F23" s="10" t="inlineStr">
        <is>
          <t>Người dùng là VIEWER</t>
        </is>
      </c>
      <c r="G23" s="10" t="inlineStr">
        <is>
          <t>Cố gắng gọi hoặc trigger các hàm addNode, deleteNode từ DevTools</t>
        </is>
      </c>
      <c r="H23" s="10" t="inlineStr">
        <is>
          <t>N/A</t>
        </is>
      </c>
      <c r="I23" s="10" t="inlineStr">
        <is>
          <t>- Hệ thống kiểm tra vai trò tại Context và hiển thị Toast error: "Bạn không có quyền thực hiện thao tác này."</t>
        </is>
      </c>
      <c r="J23" s="10" t="inlineStr">
        <is>
          <t>Security</t>
        </is>
      </c>
      <c r="K23" s="10" t="inlineStr"/>
      <c r="L23" s="10" t="inlineStr"/>
      <c r="M23" s="11" t="inlineStr">
        <is>
          <t>Pass</t>
        </is>
      </c>
      <c r="N23" s="11" t="inlineStr"/>
      <c r="O23" s="11" t="inlineStr"/>
      <c r="P23" s="11" t="inlineStr"/>
    </row>
    <row r="24">
      <c r="A24" s="10" t="n">
        <v>23</v>
      </c>
      <c r="B24" s="10" t="inlineStr">
        <is>
          <t>TC-AUTH-FE-10</t>
        </is>
      </c>
      <c r="C24" s="10" t="inlineStr">
        <is>
          <t>01 Xác thực</t>
        </is>
      </c>
      <c r="D24" s="10" t="inlineStr">
        <is>
          <t>Frontend — Frontend Test Cases (UI/UX, Local State &amp; Validation)</t>
        </is>
      </c>
      <c r="E24" s="10" t="inlineStr">
        <is>
          <t>Đăng xuất người dùng an toàn</t>
        </is>
      </c>
      <c r="F24" s="10" t="inlineStr">
        <is>
          <t>Người dùng đang ở trong hệ thống</t>
        </is>
      </c>
      <c r="G24" s="10" t="inlineStr">
        <is>
          <t>Nhấn nút "Đăng xuất" trên Header</t>
        </is>
      </c>
      <c r="H24" s="10" t="inlineStr">
        <is>
          <t>N/A</t>
        </is>
      </c>
      <c r="I24" s="10" t="inlineStr">
        <is>
          <t>- Gọi API logout (ở phase API) để xóa token trên BE.
- Xóa sạch state trong React Context và xóa `localStorage`.
- Điều hướng về trang `/login` bằng phương pháp hard reload để đảm bảo xóa hoàn toàn RAM state.</t>
        </is>
      </c>
      <c r="J24" s="10" t="inlineStr">
        <is>
          <t>Functional</t>
        </is>
      </c>
      <c r="K24" s="10" t="inlineStr"/>
      <c r="L24" s="10" t="inlineStr"/>
      <c r="M24" s="11" t="inlineStr">
        <is>
          <t>Pass</t>
        </is>
      </c>
      <c r="N24" s="11" t="inlineStr"/>
      <c r="O24" s="11" t="inlineStr"/>
      <c r="P24" s="11" t="inlineStr"/>
    </row>
    <row r="25">
      <c r="A25" s="10" t="n">
        <v>24</v>
      </c>
      <c r="B25" s="10" t="inlineStr">
        <is>
          <t>TC-NODE-BE-01</t>
        </is>
      </c>
      <c r="C25" s="10" t="inlineStr">
        <is>
          <t>02 Quản lý node</t>
        </is>
      </c>
      <c r="D25" s="10" t="inlineStr">
        <is>
          <t>Backend — Backend Test Cases (API, Security &amp; Database)</t>
        </is>
      </c>
      <c r="E25" s="10" t="inlineStr">
        <is>
          <t>Lấy danh sách Node thành công</t>
        </is>
      </c>
      <c r="F25" s="10" t="inlineStr">
        <is>
          <t>Database có sẵn các bản ghi Node</t>
        </is>
      </c>
      <c r="G25" s="10" t="inlineStr">
        <is>
          <t>Gửi request `GET /api/nodes`</t>
        </is>
      </c>
      <c r="H25" s="10" t="inlineStr">
        <is>
          <t>Header:
`Authorization: Bearer &lt;token&gt;`</t>
        </is>
      </c>
      <c r="I25" s="10" t="inlineStr">
        <is>
          <t>- Trả về `HTTP 200 OK`
- Trả về một JSON Array danh sách các Node.
- Bảo mật: Trường `password` và `sshKey` của tất cả các Node KHÔNG được xuất hiện trong JSON response body.</t>
        </is>
      </c>
      <c r="J25" s="10" t="inlineStr">
        <is>
          <t>Functional / Security</t>
        </is>
      </c>
      <c r="K25" s="10" t="inlineStr"/>
      <c r="L25" s="10" t="inlineStr"/>
      <c r="M25" s="11" t="inlineStr">
        <is>
          <t>Pass</t>
        </is>
      </c>
      <c r="N25" s="11" t="inlineStr"/>
      <c r="O25" s="11" t="inlineStr"/>
      <c r="P25" s="11" t="inlineStr"/>
    </row>
    <row r="26">
      <c r="A26" s="10" t="n">
        <v>25</v>
      </c>
      <c r="B26" s="10" t="inlineStr">
        <is>
          <t>TC-NODE-BE-02</t>
        </is>
      </c>
      <c r="C26" s="10" t="inlineStr">
        <is>
          <t>02 Quản lý node</t>
        </is>
      </c>
      <c r="D26" s="10" t="inlineStr">
        <is>
          <t>Backend — Backend Test Cases (API, Security &amp; Database)</t>
        </is>
      </c>
      <c r="E26" s="10" t="inlineStr">
        <is>
          <t>Thêm Node mới sử dụng mật khẩu thành công</t>
        </is>
      </c>
      <c r="F26" s="10" t="inlineStr">
        <is>
          <t>Node cần thêm chưa tồn tại trên hệ thống (không trùng IP/Host)</t>
        </is>
      </c>
      <c r="G26" s="10" t="inlineStr">
        <is>
          <t>Gửi request `POST /api/nodes` với đầy đủ thông tin mật khẩu</t>
        </is>
      </c>
      <c r="H26" s="10" t="inlineStr">
        <is>
          <t>Body:
`{ "name": "prod-app-02", "host": "192.168.1.15", "port": 22, "username": "admin", "password": "ssh-password-123", "description": "App Server" }`</t>
        </is>
      </c>
      <c r="I26" s="10" t="inlineStr">
        <is>
          <t>- Trả về `HTTP 201 Created` và thông tin Node vừa tạo.
- Dữ liệu trong database: Trường `password` phải được lưu dưới dạng chuỗi đã mã hóa Base64 AES/ECB (không lưu plaintext).</t>
        </is>
      </c>
      <c r="J26" s="10" t="inlineStr">
        <is>
          <t>Functional / Security</t>
        </is>
      </c>
      <c r="K26" s="10" t="inlineStr"/>
      <c r="L26" s="10" t="inlineStr"/>
      <c r="M26" s="11" t="inlineStr">
        <is>
          <t>Pass</t>
        </is>
      </c>
      <c r="N26" s="11" t="inlineStr"/>
      <c r="O26" s="11" t="inlineStr"/>
      <c r="P26" s="11" t="inlineStr"/>
    </row>
    <row r="27">
      <c r="A27" s="10" t="n">
        <v>26</v>
      </c>
      <c r="B27" s="10" t="inlineStr">
        <is>
          <t>TC-NODE-BE-03</t>
        </is>
      </c>
      <c r="C27" s="10" t="inlineStr">
        <is>
          <t>02 Quản lý node</t>
        </is>
      </c>
      <c r="D27" s="10" t="inlineStr">
        <is>
          <t>Backend — Backend Test Cases (API, Security &amp; Database)</t>
        </is>
      </c>
      <c r="E27" s="10" t="inlineStr">
        <is>
          <t>Thêm Node mới sử dụng SSH Key thành công</t>
        </is>
      </c>
      <c r="F27" s="10" t="inlineStr">
        <is>
          <t>Node cần thêm chưa tồn tại trên hệ thống</t>
        </is>
      </c>
      <c r="G27" s="10" t="inlineStr">
        <is>
          <t>Gửi request `POST /api/nodes` với thông tin SSH Private Key</t>
        </is>
      </c>
      <c r="H27" s="10" t="inlineStr">
        <is>
          <t>Body:
`{ "name": "prod-app-03", "host": "192.168.1.16", "port": 22, "username": "admin", "ssh_key": "-----BEGIN OPENSSH PRIVATE KEY-----\n...", "description": "App Server SSH Key" }`</t>
        </is>
      </c>
      <c r="I27" s="10" t="inlineStr">
        <is>
          <t>- Trả về `HTTP 201 Created`.
- Dữ liệu trong database: Trường `ssh_key` trong bảng `Nodes` được mã hóa AES/ECB thành công.</t>
        </is>
      </c>
      <c r="J27" s="10" t="inlineStr">
        <is>
          <t>Functional / Security</t>
        </is>
      </c>
      <c r="K27" s="10" t="inlineStr"/>
      <c r="L27" s="10" t="inlineStr"/>
      <c r="M27" s="11" t="inlineStr">
        <is>
          <t>Pass</t>
        </is>
      </c>
      <c r="N27" s="11" t="inlineStr"/>
      <c r="O27" s="11" t="inlineStr"/>
      <c r="P27" s="11" t="inlineStr"/>
    </row>
    <row r="28">
      <c r="A28" s="10" t="n">
        <v>27</v>
      </c>
      <c r="B28" s="10" t="inlineStr">
        <is>
          <t>TC-NODE-BE-04</t>
        </is>
      </c>
      <c r="C28" s="10" t="inlineStr">
        <is>
          <t>02 Quản lý node</t>
        </is>
      </c>
      <c r="D28" s="10" t="inlineStr">
        <is>
          <t>Backend — Backend Test Cases (API, Security &amp; Database)</t>
        </is>
      </c>
      <c r="E28" s="10" t="inlineStr">
        <is>
          <t>Kiểm tra lỗi double-encryption khi thêm Node</t>
        </is>
      </c>
      <c r="F28" s="10" t="inlineStr">
        <is>
          <t>Hệ thống đang chạy</t>
        </is>
      </c>
      <c r="G28" s="10" t="inlineStr">
        <is>
          <t>1. Thêm Node mới qua API.
2. Kiểm tra log hoặc debug quá trình lưu DB.
3. Đọc dữ liệu ra qua API `GET` hoặc scheduler xem SSH có hoạt động được không.</t>
        </is>
      </c>
      <c r="H28" s="10" t="inlineStr">
        <is>
          <t>Sử dụng dữ liệu test hợp lệ</t>
        </is>
      </c>
      <c r="I28" s="10" t="inlineStr">
        <is>
          <t>- Đạt: `CryptoConverter` thực hiện mã hóa tự động khi lưu DB. Controller không được thực hiện mã hóa thủ công (tránh double-encryption dẫn tới không giải mã được).</t>
        </is>
      </c>
      <c r="J28" s="10" t="inlineStr">
        <is>
          <t>Bug Verification</t>
        </is>
      </c>
      <c r="K28" s="10" t="inlineStr"/>
      <c r="L28" s="10" t="inlineStr"/>
      <c r="M28" s="11" t="inlineStr">
        <is>
          <t>Pass</t>
        </is>
      </c>
      <c r="N28" s="11" t="inlineStr"/>
      <c r="O28" s="11" t="inlineStr"/>
      <c r="P28" s="11" t="inlineStr"/>
    </row>
    <row r="29">
      <c r="A29" s="10" t="n">
        <v>28</v>
      </c>
      <c r="B29" s="10" t="inlineStr">
        <is>
          <t>TC-NODE-BE-05</t>
        </is>
      </c>
      <c r="C29" s="10" t="inlineStr">
        <is>
          <t>02 Quản lý node</t>
        </is>
      </c>
      <c r="D29" s="10" t="inlineStr">
        <is>
          <t>Backend — Backend Test Cases (API, Security &amp; Database)</t>
        </is>
      </c>
      <c r="E29" s="10" t="inlineStr">
        <is>
          <t>Thêm Node thất bại do trùng lặp Host/IP</t>
        </is>
      </c>
      <c r="F29" s="10" t="inlineStr">
        <is>
          <t>Node có host `192.168.1.10` đã có trong database</t>
        </is>
      </c>
      <c r="G29" s="10" t="inlineStr">
        <is>
          <t>Gửi request `POST /api/nodes` để thêm mới một Node trùng host</t>
        </is>
      </c>
      <c r="H29" s="10" t="inlineStr">
        <is>
          <t>Body:
`{ "name": "web-duplicate", "host": "192.168.1.10", "port": 22, "username": "ubuntu" }`</t>
        </is>
      </c>
      <c r="I29" s="10" t="inlineStr">
        <is>
          <t>- Trả về `HTTP 400 Bad Request` hoặc `HTTP 409 Conflict` (tùy theo API v2.0).
- Response chứa thông điệp lỗi: "Host/IP đã được đăng ký."</t>
        </is>
      </c>
      <c r="J29" s="10" t="inlineStr">
        <is>
          <t>Validation / Security</t>
        </is>
      </c>
      <c r="K29" s="10" t="inlineStr"/>
      <c r="L29" s="10" t="inlineStr"/>
      <c r="M29" s="11" t="inlineStr">
        <is>
          <t>Chưa chạy</t>
        </is>
      </c>
      <c r="N29" s="11" t="inlineStr"/>
      <c r="O29" s="11" t="inlineStr"/>
      <c r="P29" s="11" t="inlineStr"/>
    </row>
    <row r="30">
      <c r="A30" s="10" t="n">
        <v>29</v>
      </c>
      <c r="B30" s="10" t="inlineStr">
        <is>
          <t>TC-NODE-BE-06</t>
        </is>
      </c>
      <c r="C30" s="10" t="inlineStr">
        <is>
          <t>02 Quản lý node</t>
        </is>
      </c>
      <c r="D30" s="10" t="inlineStr">
        <is>
          <t>Backend — Backend Test Cases (API, Security &amp; Database)</t>
        </is>
      </c>
      <c r="E30" s="10" t="inlineStr">
        <is>
          <t>Thêm Node thất bại do thiếu thông tin bắt buộc</t>
        </is>
      </c>
      <c r="F30" s="10" t="inlineStr">
        <is>
          <t>Hệ thống đang chạy</t>
        </is>
      </c>
      <c r="G30" s="10" t="inlineStr">
        <is>
          <t>Gửi request `POST /api/nodes` thiếu trường `name` hoặc `host`</t>
        </is>
      </c>
      <c r="H30" s="10" t="inlineStr">
        <is>
          <t>Body:
`{ "port": 22, "username": "ubuntu" }`</t>
        </is>
      </c>
      <c r="I30" s="10" t="inlineStr">
        <is>
          <t>- Trả về `HTTP 400 Bad Request`.
- Thông tin lỗi chỉ ra rõ các trường bị thiếu hoặc không hợp lệ.</t>
        </is>
      </c>
      <c r="J30" s="10" t="inlineStr">
        <is>
          <t>Validation</t>
        </is>
      </c>
      <c r="K30" s="10" t="inlineStr"/>
      <c r="L30" s="10" t="inlineStr"/>
      <c r="M30" s="11" t="inlineStr">
        <is>
          <t>Pass</t>
        </is>
      </c>
      <c r="N30" s="11" t="inlineStr"/>
      <c r="O30" s="11" t="inlineStr"/>
      <c r="P30" s="11" t="inlineStr"/>
    </row>
    <row r="31">
      <c r="A31" s="10" t="n">
        <v>30</v>
      </c>
      <c r="B31" s="10" t="inlineStr">
        <is>
          <t>TC-NODE-BE-07</t>
        </is>
      </c>
      <c r="C31" s="10" t="inlineStr">
        <is>
          <t>02 Quản lý node</t>
        </is>
      </c>
      <c r="D31" s="10" t="inlineStr">
        <is>
          <t>Backend — Backend Test Cases (API, Security &amp; Database)</t>
        </is>
      </c>
      <c r="E31" s="10" t="inlineStr">
        <is>
          <t>Bật/Tắt trạng thái giám sát của Node</t>
        </is>
      </c>
      <c r="F31" s="10" t="inlineStr">
        <is>
          <t>Node đang có trạng thái `active = true`</t>
        </is>
      </c>
      <c r="G31" s="10" t="inlineStr">
        <is>
          <t>Gửi request `PUT /api/nodes/{id}/toggle-active`</t>
        </is>
      </c>
      <c r="H31" s="10" t="inlineStr">
        <is>
          <t>`id` của Node hiện tại</t>
        </is>
      </c>
      <c r="I31" s="10" t="inlineStr">
        <is>
          <t>- Trả về `HTTP 200 OK`.
- Response chứa: `{ "id": id, "active": false }`.
- Trong DB, giá trị `active` của Node cập nhật thành `0`.</t>
        </is>
      </c>
      <c r="J31" s="10" t="inlineStr">
        <is>
          <t>Functional</t>
        </is>
      </c>
      <c r="K31" s="10" t="inlineStr"/>
      <c r="L31" s="10" t="inlineStr"/>
      <c r="M31" s="11" t="inlineStr">
        <is>
          <t>Pass</t>
        </is>
      </c>
      <c r="N31" s="11" t="inlineStr"/>
      <c r="O31" s="11" t="inlineStr"/>
      <c r="P31" s="11" t="inlineStr"/>
    </row>
    <row r="32">
      <c r="A32" s="10" t="n">
        <v>31</v>
      </c>
      <c r="B32" s="10" t="inlineStr">
        <is>
          <t>TC-NODE-BE-08</t>
        </is>
      </c>
      <c r="C32" s="10" t="inlineStr">
        <is>
          <t>02 Quản lý node</t>
        </is>
      </c>
      <c r="D32" s="10" t="inlineStr">
        <is>
          <t>Backend — Backend Test Cases (API, Security &amp; Database)</t>
        </is>
      </c>
      <c r="E32" s="10" t="inlineStr">
        <is>
          <t>Lấy thông tin chi tiết một Node</t>
        </is>
      </c>
      <c r="F32" s="10" t="inlineStr">
        <is>
          <t>Node có `id = 1` tồn tại</t>
        </is>
      </c>
      <c r="G32" s="10" t="inlineStr">
        <is>
          <t>Gửi request `GET /api/nodes/1`</t>
        </is>
      </c>
      <c r="H32" s="10" t="inlineStr">
        <is>
          <t>N/A</t>
        </is>
      </c>
      <c r="I32" s="10" t="inlineStr">
        <is>
          <t>- Trả về `HTTP 200 OK` cùng dữ liệu chi tiết của Node.
- Mật khẩu/SSH Key KHÔNG được trả về trong payload.</t>
        </is>
      </c>
      <c r="J32" s="10" t="inlineStr">
        <is>
          <t>Functional</t>
        </is>
      </c>
      <c r="K32" s="10" t="inlineStr"/>
      <c r="L32" s="10" t="inlineStr"/>
      <c r="M32" s="11" t="inlineStr">
        <is>
          <t>Pass</t>
        </is>
      </c>
      <c r="N32" s="11" t="inlineStr"/>
      <c r="O32" s="11" t="inlineStr"/>
      <c r="P32" s="11" t="inlineStr"/>
    </row>
    <row r="33">
      <c r="A33" s="10" t="n">
        <v>32</v>
      </c>
      <c r="B33" s="10" t="inlineStr">
        <is>
          <t>TC-NODE-BE-09</t>
        </is>
      </c>
      <c r="C33" s="10" t="inlineStr">
        <is>
          <t>02 Quản lý node</t>
        </is>
      </c>
      <c r="D33" s="10" t="inlineStr">
        <is>
          <t>Backend — Backend Test Cases (API, Security &amp; Database)</t>
        </is>
      </c>
      <c r="E33" s="10" t="inlineStr">
        <is>
          <t>Lấy thông tin chi tiết Node không tồn tại</t>
        </is>
      </c>
      <c r="F33" s="10" t="inlineStr">
        <is>
          <t>Không có Node nào có `id = 9999`</t>
        </is>
      </c>
      <c r="G33" s="10" t="inlineStr">
        <is>
          <t>Gửi request `GET /api/nodes/9999`</t>
        </is>
      </c>
      <c r="H33" s="10" t="inlineStr">
        <is>
          <t>N/A</t>
        </is>
      </c>
      <c r="I33" s="10" t="inlineStr">
        <is>
          <t>- Trả về `HTTP 404 Not Found`.</t>
        </is>
      </c>
      <c r="J33" s="10" t="inlineStr">
        <is>
          <t>Functional</t>
        </is>
      </c>
      <c r="K33" s="10" t="inlineStr"/>
      <c r="L33" s="10" t="inlineStr"/>
      <c r="M33" s="11" t="inlineStr">
        <is>
          <t>Pass</t>
        </is>
      </c>
      <c r="N33" s="11" t="inlineStr"/>
      <c r="O33" s="11" t="inlineStr"/>
      <c r="P33" s="11" t="inlineStr"/>
    </row>
    <row r="34">
      <c r="A34" s="10" t="n">
        <v>33</v>
      </c>
      <c r="B34" s="10" t="inlineStr">
        <is>
          <t>TC-NODE-BE-10</t>
        </is>
      </c>
      <c r="C34" s="10" t="inlineStr">
        <is>
          <t>02 Quản lý node</t>
        </is>
      </c>
      <c r="D34" s="10" t="inlineStr">
        <is>
          <t>Backend — Backend Test Cases (API, Security &amp; Database)</t>
        </is>
      </c>
      <c r="E34" s="10" t="inlineStr">
        <is>
          <t>Cập nhật thông tin Node thành công (v2.0)</t>
        </is>
      </c>
      <c r="F34" s="10" t="inlineStr">
        <is>
          <t>Node có `id = 1` tồn tại</t>
        </is>
      </c>
      <c r="G34" s="10" t="inlineStr">
        <is>
          <t>Gửi request `PUT /api/nodes/1` cập nhật thông tin</t>
        </is>
      </c>
      <c r="H34" s="10" t="inlineStr">
        <is>
          <t>Body:
`{ "name": "prod-web-01-new", "host": "192.168.1.10", "port": 2222, "username": "ubuntu" }`</t>
        </is>
      </c>
      <c r="I34" s="10" t="inlineStr">
        <is>
          <t>- Trả về `HTTP 200 OK`.
- Thông tin của Node được cập nhật trong SQL Server.</t>
        </is>
      </c>
      <c r="J34" s="10" t="inlineStr">
        <is>
          <t>Functional</t>
        </is>
      </c>
      <c r="K34" s="10" t="inlineStr"/>
      <c r="L34" s="10" t="inlineStr"/>
      <c r="M34" s="11" t="inlineStr">
        <is>
          <t>Chưa chạy</t>
        </is>
      </c>
      <c r="N34" s="11" t="inlineStr"/>
      <c r="O34" s="11" t="inlineStr"/>
      <c r="P34" s="11" t="inlineStr"/>
    </row>
    <row r="35">
      <c r="A35" s="10" t="n">
        <v>34</v>
      </c>
      <c r="B35" s="10" t="inlineStr">
        <is>
          <t>TC-NODE-BE-11</t>
        </is>
      </c>
      <c r="C35" s="10" t="inlineStr">
        <is>
          <t>02 Quản lý node</t>
        </is>
      </c>
      <c r="D35" s="10" t="inlineStr">
        <is>
          <t>Backend — Backend Test Cases (API, Security &amp; Database)</t>
        </is>
      </c>
      <c r="E35" s="10" t="inlineStr">
        <is>
          <t>Xóa Node thành công</t>
        </is>
      </c>
      <c r="F35" s="10" t="inlineStr">
        <is>
          <t>Node có `id = 3` tồn tại, có các Incident liên quan</t>
        </is>
      </c>
      <c r="G35" s="10" t="inlineStr">
        <is>
          <t>Gửi request `DELETE /api/nodes/3`</t>
        </is>
      </c>
      <c r="H35" s="10" t="inlineStr">
        <is>
          <t>N/A</t>
        </is>
      </c>
      <c r="I35" s="10" t="inlineStr">
        <is>
          <t>- Trả về `HTTP 204 No Content`.
- Node bị xóa khỏi bảng `Nodes`.
- Integrity: Bản ghi sự cố trong bảng `Incident_Logs` liên quan vẫn giữ nguyên (giá trị `node_id` không bị lỗi Cascade Delete hoặc giữ khóa ngoại nếu cấu hình Soft Delete/Set Null).</t>
        </is>
      </c>
      <c r="J35" s="10" t="inlineStr">
        <is>
          <t>Functional</t>
        </is>
      </c>
      <c r="K35" s="10" t="inlineStr"/>
      <c r="L35" s="10" t="inlineStr"/>
      <c r="M35" s="11" t="inlineStr">
        <is>
          <t>Pass</t>
        </is>
      </c>
      <c r="N35" s="11" t="inlineStr"/>
      <c r="O35" s="11" t="inlineStr"/>
      <c r="P35" s="11" t="inlineStr"/>
    </row>
    <row r="36">
      <c r="A36" s="10" t="n">
        <v>35</v>
      </c>
      <c r="B36" s="10" t="inlineStr">
        <is>
          <t>TC-NODE-FE-01</t>
        </is>
      </c>
      <c r="C36" s="10" t="inlineStr">
        <is>
          <t>02 Quản lý node</t>
        </is>
      </c>
      <c r="D36" s="10" t="inlineStr">
        <is>
          <t>Frontend — Frontend Test Cases (UI/UX, Local State &amp; Validation)</t>
        </is>
      </c>
      <c r="E36" s="10" t="inlineStr">
        <is>
          <t>Hiển thị giao diện danh sách Node</t>
        </is>
      </c>
      <c r="F36" s="10" t="inlineStr">
        <is>
          <t>Người dùng đã đăng nhập, truy cập `/app/nodes`</t>
        </is>
      </c>
      <c r="G36" s="10" t="inlineStr">
        <is>
          <t>Xem danh sách các Node hiển thị</t>
        </is>
      </c>
      <c r="H36" s="10" t="inlineStr">
        <is>
          <t>N/A</t>
        </is>
      </c>
      <c r="I36" s="10" t="inlineStr">
        <is>
          <t>- Bảng Nodes hiển thị đầy đủ thông tin: Tên Node (in đậm, dạng link), IP/Host (font chữ monospace), Port (badge xám), CPU/RAM/Disk (Progress bar kèm % màu sắc sinh động), Mô tả.
- Switch toggle "Giám sát" hiển thị trạng thái active hiện tại.
- Cột Action hiển thị Icon Edit (xanh nhạt) và Trash (đỏ nhạt) cho ADMIN.</t>
        </is>
      </c>
      <c r="J36" s="10" t="inlineStr">
        <is>
          <t>Functional / UI</t>
        </is>
      </c>
      <c r="K36" s="10" t="inlineStr"/>
      <c r="L36" s="10" t="inlineStr"/>
      <c r="M36" s="11" t="inlineStr">
        <is>
          <t>Pass</t>
        </is>
      </c>
      <c r="N36" s="11" t="inlineStr"/>
      <c r="O36" s="11" t="inlineStr"/>
      <c r="P36" s="11" t="inlineStr"/>
    </row>
    <row r="37">
      <c r="A37" s="10" t="n">
        <v>36</v>
      </c>
      <c r="B37" s="10" t="inlineStr">
        <is>
          <t>TC-NODE-FE-02</t>
        </is>
      </c>
      <c r="C37" s="10" t="inlineStr">
        <is>
          <t>02 Quản lý node</t>
        </is>
      </c>
      <c r="D37" s="10" t="inlineStr">
        <is>
          <t>Frontend — Frontend Test Cases (UI/UX, Local State &amp; Validation)</t>
        </is>
      </c>
      <c r="E37" s="10" t="inlineStr">
        <is>
          <t>Thay đổi màu sắc Progress Bar theo ngưỡng tài nguyên</t>
        </is>
      </c>
      <c r="F37" s="10" t="inlineStr">
        <is>
          <t>Danh sách Node có các mức Disk/CPU/RAM khác nhau</t>
        </is>
      </c>
      <c r="G37" s="10" t="inlineStr">
        <is>
          <t>Đối chiếu màu sắc Progress Bar với giá trị %</t>
        </is>
      </c>
      <c r="H37" s="10" t="inlineStr">
        <is>
          <t>- Node 1: Disk 45%
- Node 2: Disk 89%
- Node 3: Disk 92%</t>
        </is>
      </c>
      <c r="I37" s="10" t="inlineStr">
        <is>
          <t>- Đạt: 
  - Dưới 75% CPU / 80% Disk &amp; RAM -&gt; Progress bar màu xanh lá.
  - Từ warning đến dưới 90% -&gt; Progress bar màu vàng cam.
  - Từ 90% trở lên -&gt; Progress bar màu đỏ đậm.</t>
        </is>
      </c>
      <c r="J37" s="10" t="inlineStr">
        <is>
          <t>UI/UX / Validation</t>
        </is>
      </c>
      <c r="K37" s="10" t="inlineStr"/>
      <c r="L37" s="10" t="inlineStr"/>
      <c r="M37" s="11" t="inlineStr">
        <is>
          <t>Pass</t>
        </is>
      </c>
      <c r="N37" s="11" t="inlineStr"/>
      <c r="O37" s="11" t="inlineStr"/>
      <c r="P37" s="11" t="inlineStr"/>
    </row>
    <row r="38">
      <c r="A38" s="10" t="n">
        <v>37</v>
      </c>
      <c r="B38" s="10" t="inlineStr">
        <is>
          <t>TC-NODE-FE-03</t>
        </is>
      </c>
      <c r="C38" s="10" t="inlineStr">
        <is>
          <t>02 Quản lý node</t>
        </is>
      </c>
      <c r="D38" s="10" t="inlineStr">
        <is>
          <t>Frontend — Frontend Test Cases (UI/UX, Local State &amp; Validation)</t>
        </is>
      </c>
      <c r="E38" s="10" t="inlineStr">
        <is>
          <t>Mở Modal Thêm Node</t>
        </is>
      </c>
      <c r="F38" s="10" t="inlineStr">
        <is>
          <t>Người dùng là ADMIN đang ở trang `/app/nodes`</t>
        </is>
      </c>
      <c r="G38" s="10" t="inlineStr">
        <is>
          <t>Click nút "Thêm Node"</t>
        </is>
      </c>
      <c r="H38" s="10" t="inlineStr">
        <is>
          <t>N/A</t>
        </is>
      </c>
      <c r="I38" s="10" t="inlineStr">
        <is>
          <t>- Modal "Thêm máy chủ mới" hiển thị đè lên màn hình chính.
- Có 2 tab: "Password" và "SSH Key". Mặc định active tab Password và ẩn textarea SSH Key.
- Checkbox giám sát (CPU, Disk, RAM) đều được tích chọn mặc định.</t>
        </is>
      </c>
      <c r="J38" s="10" t="inlineStr">
        <is>
          <t>Functional / UI</t>
        </is>
      </c>
      <c r="K38" s="10" t="inlineStr"/>
      <c r="L38" s="10" t="inlineStr"/>
      <c r="M38" s="11" t="inlineStr">
        <is>
          <t>Pass</t>
        </is>
      </c>
      <c r="N38" s="11" t="inlineStr"/>
      <c r="O38" s="11" t="inlineStr"/>
      <c r="P38" s="11" t="inlineStr"/>
    </row>
    <row r="39">
      <c r="A39" s="10" t="n">
        <v>38</v>
      </c>
      <c r="B39" s="10" t="inlineStr">
        <is>
          <t>TC-NODE-FE-04</t>
        </is>
      </c>
      <c r="C39" s="10" t="inlineStr">
        <is>
          <t>02 Quản lý node</t>
        </is>
      </c>
      <c r="D39" s="10" t="inlineStr">
        <is>
          <t>Frontend — Frontend Test Cases (UI/UX, Local State &amp; Validation)</t>
        </is>
      </c>
      <c r="E39" s="10" t="inlineStr">
        <is>
          <t>Kiểm tra Tab Authentication trong Modal</t>
        </is>
      </c>
      <c r="F39" s="10" t="inlineStr">
        <is>
          <t>Modal Thêm Node đang hiển thị</t>
        </is>
      </c>
      <c r="G39" s="10" t="inlineStr">
        <is>
          <t>1. Click tab "SSH Key"
2. Click lại tab "Password"</t>
        </is>
      </c>
      <c r="H39" s="10" t="inlineStr">
        <is>
          <t>N/A</t>
        </is>
      </c>
      <c r="I39" s="10" t="inlineStr">
        <is>
          <t>- Khi chọn tab SSH Key: Ô nhập Password ẩn đi, textarea nhập SSH Private Key hiện ra.
- Khi chọn tab Password: Textarea SSH Private Key ẩn đi, ô nhập Password hiện ra.</t>
        </is>
      </c>
      <c r="J39" s="10" t="inlineStr">
        <is>
          <t>Functional / UI</t>
        </is>
      </c>
      <c r="K39" s="10" t="inlineStr"/>
      <c r="L39" s="10" t="inlineStr"/>
      <c r="M39" s="11" t="inlineStr">
        <is>
          <t>Pass</t>
        </is>
      </c>
      <c r="N39" s="11" t="inlineStr"/>
      <c r="O39" s="11" t="inlineStr"/>
      <c r="P39" s="11" t="inlineStr"/>
    </row>
    <row r="40">
      <c r="A40" s="10" t="n">
        <v>39</v>
      </c>
      <c r="B40" s="10" t="inlineStr">
        <is>
          <t>TC-NODE-FE-05</t>
        </is>
      </c>
      <c r="C40" s="10" t="inlineStr">
        <is>
          <t>02 Quản lý node</t>
        </is>
      </c>
      <c r="D40" s="10" t="inlineStr">
        <is>
          <t>Frontend — Frontend Test Cases (UI/UX, Local State &amp; Validation)</t>
        </is>
      </c>
      <c r="E40" s="10" t="inlineStr">
        <is>
          <t>Validation Form tại Modal Thêm Node</t>
        </is>
      </c>
      <c r="F40" s="10" t="inlineStr">
        <is>
          <t>Modal Thêm Node đang hiển thị</t>
        </is>
      </c>
      <c r="G40" s="10" t="inlineStr">
        <is>
          <t>Nhập thiếu thông tin bắt buộc hoặc sai định dạng và nhấn "Lưu"</t>
        </is>
      </c>
      <c r="H40" s="10" t="inlineStr">
        <is>
          <t>Tên: `""`
IP/Host: `invalid-ip`
Port: `70000`</t>
        </is>
      </c>
      <c r="I40" s="10" t="inlineStr">
        <is>
          <t>- Ô Tên và Host báo lỗi đỏ bắt buộc nhập.
- Ô Host báo lỗi định dạng IP/Domain không hợp lệ.
- Ô Port báo lỗi giá trị phải nằm trong khoảng `1 - 65535`.
- Nút submit bị chặn.</t>
        </is>
      </c>
      <c r="J40" s="10" t="inlineStr">
        <is>
          <t>Validation</t>
        </is>
      </c>
      <c r="K40" s="10" t="inlineStr"/>
      <c r="L40" s="10" t="inlineStr"/>
      <c r="M40" s="11" t="inlineStr">
        <is>
          <t>Pass</t>
        </is>
      </c>
      <c r="N40" s="11" t="inlineStr"/>
      <c r="O40" s="11" t="inlineStr"/>
      <c r="P40" s="11" t="inlineStr"/>
    </row>
    <row r="41">
      <c r="A41" s="10" t="n">
        <v>40</v>
      </c>
      <c r="B41" s="10" t="inlineStr">
        <is>
          <t>TC-NODE-FE-06</t>
        </is>
      </c>
      <c r="C41" s="10" t="inlineStr">
        <is>
          <t>02 Quản lý node</t>
        </is>
      </c>
      <c r="D41" s="10" t="inlineStr">
        <is>
          <t>Frontend — Frontend Test Cases (UI/UX, Local State &amp; Validation)</t>
        </is>
      </c>
      <c r="E41" s="10" t="inlineStr">
        <is>
          <t>Thêm Node thành công (Mock Phase)</t>
        </is>
      </c>
      <c r="F41" s="10" t="inlineStr">
        <is>
          <t>Modal Thêm Node đang hiển thị</t>
        </is>
      </c>
      <c r="G41" s="10" t="inlineStr">
        <is>
          <t>Nhập đầy đủ thông tin hợp lệ và nhấn "Lưu"</t>
        </is>
      </c>
      <c r="H41" s="10" t="inlineStr">
        <is>
          <t>Name: `prod-app-05`
Host: `10.0.0.80`
Port: `22`</t>
        </is>
      </c>
      <c r="I41" s="10" t="inlineStr">
        <is>
          <t>- Modal đóng lại.
- Node mới xuất hiện trong bảng danh sách với trạng thái hoạt động.
- Hiển thị Toast thông báo thành công: "Đã thêm máy chủ prod-app-05".
- Có bản ghi Audit Log tương ứng được sinh ra.</t>
        </is>
      </c>
      <c r="J41" s="10" t="inlineStr">
        <is>
          <t>Functional</t>
        </is>
      </c>
      <c r="K41" s="10" t="inlineStr"/>
      <c r="L41" s="10" t="inlineStr"/>
      <c r="M41" s="11" t="inlineStr">
        <is>
          <t>Pass</t>
        </is>
      </c>
      <c r="N41" s="11" t="inlineStr"/>
      <c r="O41" s="11" t="inlineStr"/>
      <c r="P41" s="11" t="inlineStr"/>
    </row>
    <row r="42">
      <c r="A42" s="10" t="n">
        <v>41</v>
      </c>
      <c r="B42" s="10" t="inlineStr">
        <is>
          <t>TC-NODE-FE-07</t>
        </is>
      </c>
      <c r="C42" s="10" t="inlineStr">
        <is>
          <t>02 Quản lý node</t>
        </is>
      </c>
      <c r="D42" s="10" t="inlineStr">
        <is>
          <t>Frontend — Frontend Test Cases (UI/UX, Local State &amp; Validation)</t>
        </is>
      </c>
      <c r="E42" s="10" t="inlineStr">
        <is>
          <t>Mở Modal Sửa Node</t>
        </is>
      </c>
      <c r="F42" s="10" t="inlineStr">
        <is>
          <t>Người dùng là ADMIN ở trang `/app/nodes`</t>
        </is>
      </c>
      <c r="G42" s="10" t="inlineStr">
        <is>
          <t>Click biểu tượng Edit (bút chì) trên hàng Node</t>
        </is>
      </c>
      <c r="H42" s="10" t="inlineStr">
        <is>
          <t>Node: `prod-web-01`</t>
        </is>
      </c>
      <c r="I42" s="10" t="inlineStr">
        <is>
          <t>- Modal "Cập nhật máy chủ" hiển thị.
- Toàn bộ thông tin cũ được tự động điền (Pre-fill) vào form.
- Ô Password/SSH Key hiển thị placeholder dạng chấm tròn ẩn: `••••••••`.</t>
        </is>
      </c>
      <c r="J42" s="10" t="inlineStr">
        <is>
          <t>Functional / UI</t>
        </is>
      </c>
      <c r="K42" s="10" t="inlineStr"/>
      <c r="L42" s="10" t="inlineStr"/>
      <c r="M42" s="11" t="inlineStr">
        <is>
          <t>Pass</t>
        </is>
      </c>
      <c r="N42" s="11" t="inlineStr"/>
      <c r="O42" s="11" t="inlineStr"/>
      <c r="P42" s="11" t="inlineStr"/>
    </row>
    <row r="43">
      <c r="A43" s="10" t="n">
        <v>42</v>
      </c>
      <c r="B43" s="10" t="inlineStr">
        <is>
          <t>TC-NODE-FE-08</t>
        </is>
      </c>
      <c r="C43" s="10" t="inlineStr">
        <is>
          <t>02 Quản lý node</t>
        </is>
      </c>
      <c r="D43" s="10" t="inlineStr">
        <is>
          <t>Frontend — Frontend Test Cases (UI/UX, Local State &amp; Validation)</t>
        </is>
      </c>
      <c r="E43" s="10" t="inlineStr">
        <is>
          <t>Sửa Node thành công (Mock Phase)</t>
        </is>
      </c>
      <c r="F43" s="10" t="inlineStr">
        <is>
          <t>Modal Sửa Node đang hiển thị</t>
        </is>
      </c>
      <c r="G43" s="10" t="inlineStr">
        <is>
          <t>Thay đổi tên Node và nhấn "Lưu" (không chạm vào password)</t>
        </is>
      </c>
      <c r="H43" s="10" t="inlineStr">
        <is>
          <t>Thay đổi Name thành `prod-web-01-edit`</t>
        </is>
      </c>
      <c r="I43" s="10" t="inlineStr">
        <is>
          <t>- Modal đóng lại.
- Tên Node cập nhật thành công trên bảng.
- Mật khẩu cũ được giữ nguyên (hệ thống không gửi lên chuỗi `••••••••` làm password mới).
- Hiển thị Toast thông báo thành công.</t>
        </is>
      </c>
      <c r="J43" s="10" t="inlineStr">
        <is>
          <t>Functional</t>
        </is>
      </c>
      <c r="K43" s="10" t="inlineStr"/>
      <c r="L43" s="10" t="inlineStr"/>
      <c r="M43" s="11" t="inlineStr">
        <is>
          <t>Pass</t>
        </is>
      </c>
      <c r="N43" s="11" t="inlineStr"/>
      <c r="O43" s="11" t="inlineStr"/>
      <c r="P43" s="11" t="inlineStr"/>
    </row>
    <row r="44">
      <c r="A44" s="10" t="n">
        <v>43</v>
      </c>
      <c r="B44" s="10" t="inlineStr">
        <is>
          <t>TC-NODE-FE-09</t>
        </is>
      </c>
      <c r="C44" s="10" t="inlineStr">
        <is>
          <t>02 Quản lý node</t>
        </is>
      </c>
      <c r="D44" s="10" t="inlineStr">
        <is>
          <t>Frontend — Frontend Test Cases (UI/UX, Local State &amp; Validation)</t>
        </is>
      </c>
      <c r="E44" s="10" t="inlineStr">
        <is>
          <t>Thay đổi trạng thái Giám sát qua Switch toggle</t>
        </is>
      </c>
      <c r="F44" s="10" t="inlineStr">
        <is>
          <t>Người dùng là ADMIN</t>
        </is>
      </c>
      <c r="G44" s="10" t="inlineStr">
        <is>
          <t>Click vào nút switch toggle trên hàng Node `prod-web-01`</t>
        </is>
      </c>
      <c r="H44" s="10" t="inlineStr">
        <is>
          <t>N/A</t>
        </is>
      </c>
      <c r="I44" s="10" t="inlineStr">
        <is>
          <t>- Trạng thái active của Node đảo ngược (nếu bật -&gt; tắt và ngược lại).
- Nếu tắt: reset các chỉ số CPU/RAM hiển thị về `0%` ngay lập tức.
- Hiển thị Toast thông báo trạng thái giám sát Node đã thay đổi.</t>
        </is>
      </c>
      <c r="J44" s="10" t="inlineStr">
        <is>
          <t>Functional / UI</t>
        </is>
      </c>
      <c r="K44" s="10" t="inlineStr"/>
      <c r="L44" s="10" t="inlineStr"/>
      <c r="M44" s="11" t="inlineStr">
        <is>
          <t>Pass</t>
        </is>
      </c>
      <c r="N44" s="11" t="inlineStr"/>
      <c r="O44" s="11" t="inlineStr"/>
      <c r="P44" s="11" t="inlineStr"/>
    </row>
    <row r="45">
      <c r="A45" s="10" t="n">
        <v>44</v>
      </c>
      <c r="B45" s="10" t="inlineStr">
        <is>
          <t>TC-NODE-FE-10</t>
        </is>
      </c>
      <c r="C45" s="10" t="inlineStr">
        <is>
          <t>02 Quản lý node</t>
        </is>
      </c>
      <c r="D45" s="10" t="inlineStr">
        <is>
          <t>Frontend — Frontend Test Cases (UI/UX, Local State &amp; Validation)</t>
        </is>
      </c>
      <c r="E45" s="10" t="inlineStr">
        <is>
          <t>Xác nhận xóa Node</t>
        </is>
      </c>
      <c r="F45" s="10" t="inlineStr">
        <is>
          <t>Người dùng là ADMIN</t>
        </is>
      </c>
      <c r="G45" s="10" t="inlineStr">
        <is>
          <t>Click biểu tượng Trash (thùng rác) trên hàng Node `prod-db-master`</t>
        </is>
      </c>
      <c r="H45" s="10" t="inlineStr">
        <is>
          <t>N/A</t>
        </is>
      </c>
      <c r="I45" s="10" t="inlineStr">
        <is>
          <t>- Dialog xác nhận hiển thị cảnh báo: "Bạn có chắc muốn xóa Node prod-db-master? Hành động này không thể hoàn tác."
- Có 2 lựa chọn rõ ràng: [Hủy] và [Xóa] (màu đỏ).</t>
        </is>
      </c>
      <c r="J45" s="10" t="inlineStr">
        <is>
          <t>UI/UX / Functional</t>
        </is>
      </c>
      <c r="K45" s="10" t="inlineStr"/>
      <c r="L45" s="10" t="inlineStr"/>
      <c r="M45" s="11" t="inlineStr">
        <is>
          <t>Pass</t>
        </is>
      </c>
      <c r="N45" s="11" t="inlineStr"/>
      <c r="O45" s="11" t="inlineStr"/>
      <c r="P45" s="11" t="inlineStr"/>
    </row>
    <row r="46">
      <c r="A46" s="10" t="n">
        <v>45</v>
      </c>
      <c r="B46" s="10" t="inlineStr">
        <is>
          <t>TC-NODE-FE-11</t>
        </is>
      </c>
      <c r="C46" s="10" t="inlineStr">
        <is>
          <t>02 Quản lý node</t>
        </is>
      </c>
      <c r="D46" s="10" t="inlineStr">
        <is>
          <t>Frontend — Frontend Test Cases (UI/UX, Local State &amp; Validation)</t>
        </is>
      </c>
      <c r="E46" s="10" t="inlineStr">
        <is>
          <t>Thực hiện xóa Node thành công (Mock Phase)</t>
        </is>
      </c>
      <c r="F46" s="10" t="inlineStr">
        <is>
          <t>Dialog xác nhận xóa đang hiển thị</t>
        </is>
      </c>
      <c r="G46" s="10" t="inlineStr">
        <is>
          <t>Nhấn nút [Xóa] trên dialog</t>
        </is>
      </c>
      <c r="H46" s="10" t="inlineStr">
        <is>
          <t>N/A</t>
        </is>
      </c>
      <c r="I46" s="10" t="inlineStr">
        <is>
          <t>- Dialog đóng lại.
- Node biến mất khỏi bảng danh sách lập tức.
- Hiển thị Toast thông báo xóa thành công.
- Có bản ghi Audit Log tương ứng được sinh ra.</t>
        </is>
      </c>
      <c r="J46" s="10" t="inlineStr">
        <is>
          <t>Functional</t>
        </is>
      </c>
      <c r="K46" s="10" t="inlineStr"/>
      <c r="L46" s="10" t="inlineStr"/>
      <c r="M46" s="11" t="inlineStr">
        <is>
          <t>Pass</t>
        </is>
      </c>
      <c r="N46" s="11" t="inlineStr"/>
      <c r="O46" s="11" t="inlineStr"/>
      <c r="P46" s="11" t="inlineStr"/>
    </row>
    <row r="47">
      <c r="A47" s="10" t="n">
        <v>46</v>
      </c>
      <c r="B47" s="10" t="inlineStr">
        <is>
          <t>TC-NODE-FE-12</t>
        </is>
      </c>
      <c r="C47" s="10" t="inlineStr">
        <is>
          <t>02 Quản lý node</t>
        </is>
      </c>
      <c r="D47" s="10" t="inlineStr">
        <is>
          <t>Frontend — Frontend Test Cases (UI/UX, Local State &amp; Validation)</t>
        </is>
      </c>
      <c r="E47" s="10" t="inlineStr">
        <is>
          <t>Điều hướng sang trang chi tiết Node</t>
        </is>
      </c>
      <c r="F47" s="10" t="inlineStr">
        <is>
          <t>Hệ thống đang hiển thị bảng danh sách Nodes</t>
        </is>
      </c>
      <c r="G47" s="10" t="inlineStr">
        <is>
          <t>Click vào tên Node `prod-web-01`</t>
        </is>
      </c>
      <c r="H47" s="10" t="inlineStr">
        <is>
          <t>N/A</t>
        </is>
      </c>
      <c r="I47" s="10" t="inlineStr">
        <is>
          <t>- Ứng dụng điều hướng sang route `/app/nodes/1` để hiển thị trang chi tiết Node (NodeDetail).</t>
        </is>
      </c>
      <c r="J47" s="10" t="inlineStr">
        <is>
          <t>Functional</t>
        </is>
      </c>
      <c r="K47" s="10" t="inlineStr"/>
      <c r="L47" s="10" t="inlineStr"/>
      <c r="M47" s="11" t="inlineStr">
        <is>
          <t>Pass</t>
        </is>
      </c>
      <c r="N47" s="11" t="inlineStr"/>
      <c r="O47" s="11" t="inlineStr"/>
      <c r="P47" s="11" t="inlineStr"/>
    </row>
    <row r="48">
      <c r="A48" s="10" t="n">
        <v>47</v>
      </c>
      <c r="B48" s="10" t="inlineStr">
        <is>
          <t>TC-SCHED-BE-01</t>
        </is>
      </c>
      <c r="C48" s="10" t="inlineStr">
        <is>
          <t>03 Health check scheduler</t>
        </is>
      </c>
      <c r="D48" s="10" t="inlineStr">
        <is>
          <t>Backend — Backend Test Cases (Scheduler Jobs, SSH Connection &amp; Thresholds)</t>
        </is>
      </c>
      <c r="E48" s="10" t="inlineStr">
        <is>
          <t>Kiểm tra chu kỳ chạy Job giám sát Disk</t>
        </is>
      </c>
      <c r="F48" s="10" t="inlineStr">
        <is>
          <t>Hệ thống được cấu hình quét mỗi 5 phút (`smartops.scheduler.disk-check-interval-ms = 300000`)</t>
        </is>
      </c>
      <c r="G48" s="10" t="inlineStr">
        <is>
          <t>1. Khởi động Spring Boot.
2. Theo dõi log xem thời điểm khởi chạy lần quét đầu tiên.
3. Kiểm tra các lần chạy tiếp theo.</t>
        </is>
      </c>
      <c r="H48" s="10" t="inlineStr">
        <is>
          <t>N/A</t>
        </is>
      </c>
      <c r="I48" s="10" t="inlineStr">
        <is>
          <t>- Đạt: Lần quét đầu tiên chỉ bắt đầu sau 60 giây (`initialDelay = 60000`) kể từ lúc Spring Boot start xong.
- Các lần quét tiếp theo có khoảng cách thời gian bằng nhau và lớn hơn hoặc bằng 5 phút (Job chạy tuần tự sau khi Job trước hoàn thành, do dùng `fixedDelay`).</t>
        </is>
      </c>
      <c r="J48" s="10" t="inlineStr">
        <is>
          <t>Performance / Functional</t>
        </is>
      </c>
      <c r="K48" s="10" t="inlineStr"/>
      <c r="L48" s="10" t="inlineStr"/>
      <c r="M48" s="11" t="inlineStr">
        <is>
          <t>Pass</t>
        </is>
      </c>
      <c r="N48" s="11" t="inlineStr"/>
      <c r="O48" s="11" t="inlineStr"/>
      <c r="P48" s="11" t="inlineStr"/>
    </row>
    <row r="49">
      <c r="A49" s="10" t="n">
        <v>48</v>
      </c>
      <c r="B49" s="10" t="inlineStr">
        <is>
          <t>TC-SCHED-BE-02</t>
        </is>
      </c>
      <c r="C49" s="10" t="inlineStr">
        <is>
          <t>03 Health check scheduler</t>
        </is>
      </c>
      <c r="D49" s="10" t="inlineStr">
        <is>
          <t>Backend — Backend Test Cases (Scheduler Jobs, SSH Connection &amp; Thresholds)</t>
        </is>
      </c>
      <c r="E49" s="10" t="inlineStr">
        <is>
          <t>Job báo cáo tóm tắt hàng ngày (Daily Report)</t>
        </is>
      </c>
      <c r="F49" s="10" t="inlineStr">
        <is>
          <t>Cấu hình cron chạy lúc 08:00 sáng Thứ Hai đến Thứ Sáu</t>
        </is>
      </c>
      <c r="G49" s="10" t="inlineStr">
        <is>
          <t>1. Đặt cấu hình cron test chạy sau mỗi 1 phút.
2. Theo dõi log và kiểm tra hòm thư email.</t>
        </is>
      </c>
      <c r="H49" s="10" t="inlineStr">
        <is>
          <t>Cấu hình test:
`0 */1 * * * *`</t>
        </is>
      </c>
      <c r="I49" s="10" t="inlineStr">
        <is>
          <t>- Job kích hoạt chính xác theo thời gian biểu.
- Thực hiện đếm số sự cố đang OPEN trong DB.
- Gửi email báo cáo tóm tắt đến ops-team thành công.</t>
        </is>
      </c>
      <c r="J49" s="10" t="inlineStr">
        <is>
          <t>Functional</t>
        </is>
      </c>
      <c r="K49" s="10" t="inlineStr"/>
      <c r="L49" s="10" t="inlineStr"/>
      <c r="M49" s="11" t="inlineStr">
        <is>
          <t>Pass</t>
        </is>
      </c>
      <c r="N49" s="11" t="inlineStr"/>
      <c r="O49" s="11" t="inlineStr"/>
      <c r="P49" s="11" t="inlineStr"/>
    </row>
    <row r="50">
      <c r="A50" s="10" t="n">
        <v>49</v>
      </c>
      <c r="B50" s="10" t="inlineStr">
        <is>
          <t>TC-SCHED-BE-03</t>
        </is>
      </c>
      <c r="C50" s="10" t="inlineStr">
        <is>
          <t>03 Health check scheduler</t>
        </is>
      </c>
      <c r="D50" s="10" t="inlineStr">
        <is>
          <t>Backend — Backend Test Cases (Scheduler Jobs, SSH Connection &amp; Thresholds)</t>
        </is>
      </c>
      <c r="E50" s="10" t="inlineStr">
        <is>
          <t>Tối ưu hóa truy vấn SQL trong Job báo cáo hàng ngày</t>
        </is>
      </c>
      <c r="F50" s="10" t="inlineStr">
        <is>
          <t>Database có &gt; 10,000 sự cố</t>
        </is>
      </c>
      <c r="G50" s="10" t="inlineStr">
        <is>
          <t>Chạy Job Daily Report và theo dõi câu lệnh SQL thực thi dưới DB</t>
        </is>
      </c>
      <c r="H50" s="10" t="inlineStr">
        <is>
          <t>N/A</t>
        </is>
      </c>
      <c r="I50" s="10" t="inlineStr">
        <is>
          <t>- Đạt: Hệ thống sử dụng câu lệnh `COUNT` để lấy số lượng sự cố đang mở (ví dụ: `SELECT COUNT(*) FROM Incident_Logs WHERE status = 'OPEN'`). Không dùng `findAll().stream().filter(...)` để tránh tràn bộ nhớ JVM.</t>
        </is>
      </c>
      <c r="J50" s="10" t="inlineStr">
        <is>
          <t>Performance / Optimization</t>
        </is>
      </c>
      <c r="K50" s="10" t="inlineStr"/>
      <c r="L50" s="10" t="inlineStr"/>
      <c r="M50" s="11" t="inlineStr">
        <is>
          <t>Pass</t>
        </is>
      </c>
      <c r="N50" s="11" t="inlineStr"/>
      <c r="O50" s="11" t="inlineStr"/>
      <c r="P50" s="11" t="inlineStr"/>
    </row>
    <row r="51">
      <c r="A51" s="10" t="n">
        <v>50</v>
      </c>
      <c r="B51" s="10" t="inlineStr">
        <is>
          <t>TC-SCHED-BE-04</t>
        </is>
      </c>
      <c r="C51" s="10" t="inlineStr">
        <is>
          <t>03 Health check scheduler</t>
        </is>
      </c>
      <c r="D51" s="10" t="inlineStr">
        <is>
          <t>Backend — Backend Test Cases (Scheduler Jobs, SSH Connection &amp; Thresholds)</t>
        </is>
      </c>
      <c r="E51" s="10" t="inlineStr">
        <is>
          <t>Quét tài nguyên cục bộ (Local Metrics)</t>
        </is>
      </c>
      <c r="F51" s="10" t="inlineStr">
        <is>
          <t>Có 1 Node đăng ký với host là `127.0.0.1` hoặc `localhost`, trạng thái active</t>
        </is>
      </c>
      <c r="G51" s="10" t="inlineStr">
        <is>
          <t>Chờ scheduler quét qua Node local</t>
        </is>
      </c>
      <c r="H51" s="10" t="inlineStr">
        <is>
          <t>Host: `127.0.0.1`
Active: `true`</t>
        </is>
      </c>
      <c r="I51" s="10" t="inlineStr">
        <is>
          <t>- Scheduler phát hiện host local, bỏ qua kết nối SSH.
- Gọi trực tiếp `LocalMetricsService` sử dụng `OperatingSystemMXBean` của Java để lấy phần trăm Disk usage.
- Ghi nhận kết quả Disk hợp lệ (không bị lỗi SSH).</t>
        </is>
      </c>
      <c r="J51" s="10" t="inlineStr">
        <is>
          <t>Functional</t>
        </is>
      </c>
      <c r="K51" s="10" t="inlineStr"/>
      <c r="L51" s="10" t="inlineStr"/>
      <c r="M51" s="11" t="inlineStr">
        <is>
          <t>Pass</t>
        </is>
      </c>
      <c r="N51" s="11" t="inlineStr"/>
      <c r="O51" s="11" t="inlineStr"/>
      <c r="P51" s="11" t="inlineStr"/>
    </row>
    <row r="52">
      <c r="A52" s="10" t="n">
        <v>51</v>
      </c>
      <c r="B52" s="10" t="inlineStr">
        <is>
          <t>TC-SCHED-BE-05</t>
        </is>
      </c>
      <c r="C52" s="10" t="inlineStr">
        <is>
          <t>03 Health check scheduler</t>
        </is>
      </c>
      <c r="D52" s="10" t="inlineStr">
        <is>
          <t>Backend — Backend Test Cases (Scheduler Jobs, SSH Connection &amp; Thresholds)</t>
        </is>
      </c>
      <c r="E52" s="10" t="inlineStr">
        <is>
          <t>Giải mã mật khẩu SSH tự động</t>
        </is>
      </c>
      <c r="F52" s="10" t="inlineStr">
        <is>
          <t>Node sử dụng authentication bằng Password được lưu mật khẩu đã mã hóa</t>
        </is>
      </c>
      <c r="G52" s="10" t="inlineStr">
        <is>
          <t>Kích hoạt chu kỳ quét qua Node</t>
        </is>
      </c>
      <c r="H52" s="10" t="inlineStr">
        <is>
          <t>Mật khẩu DB dạng mã hóa</t>
        </is>
      </c>
      <c r="I52" s="10" t="inlineStr">
        <is>
          <t>- JSch giải mã mật khẩu thành công bằng `AesEncryptionUtil.decrypt()`. Plaintext mật khẩu chỉ tồn tại trong bộ nhớ RAM local scope.
- Kết nối SSH thành công tới máy chủ remote.</t>
        </is>
      </c>
      <c r="J52" s="10" t="inlineStr">
        <is>
          <t>Security / Functional</t>
        </is>
      </c>
      <c r="K52" s="10" t="inlineStr"/>
      <c r="L52" s="10" t="inlineStr"/>
      <c r="M52" s="11" t="inlineStr">
        <is>
          <t>Pass</t>
        </is>
      </c>
      <c r="N52" s="11" t="inlineStr"/>
      <c r="O52" s="11" t="inlineStr"/>
      <c r="P52" s="11" t="inlineStr"/>
    </row>
    <row r="53">
      <c r="A53" s="10" t="n">
        <v>52</v>
      </c>
      <c r="B53" s="10" t="inlineStr">
        <is>
          <t>TC-SCHED-BE-06</t>
        </is>
      </c>
      <c r="C53" s="10" t="inlineStr">
        <is>
          <t>03 Health check scheduler</t>
        </is>
      </c>
      <c r="D53" s="10" t="inlineStr">
        <is>
          <t>Backend — Backend Test Cases (Scheduler Jobs, SSH Connection &amp; Thresholds)</t>
        </is>
      </c>
      <c r="E53" s="10" t="inlineStr">
        <is>
          <t>Quét tài nguyên máy chủ từ xa qua SSH (SSH Check)</t>
        </is>
      </c>
      <c r="F53" s="10" t="inlineStr">
        <is>
          <t>Node remote đang chạy SSH service, cấu hình tài khoản chính xác</t>
        </is>
      </c>
      <c r="G53" s="10" t="inlineStr">
        <is>
          <t>Kích hoạt chu kỳ quét</t>
        </is>
      </c>
      <c r="H53" s="10" t="inlineStr">
        <is>
          <t>Host: `192.168.1.10`
Port: `22`</t>
        </is>
      </c>
      <c r="I53" s="10" t="inlineStr">
        <is>
          <t>- JSch kết nối thành công tới host qua port 22.
- Chạy lệnh `df -h / | awk 'NR==2 {print $5}' | tr -d '%'` thành công.
- Trả về chuỗi kết quả (ví dụ: `"78"`).
- Hệ thống parse chính xác thành số nguyên `78` để xử lý.</t>
        </is>
      </c>
      <c r="J53" s="10" t="inlineStr">
        <is>
          <t>Functional / Integration</t>
        </is>
      </c>
      <c r="K53" s="10" t="inlineStr"/>
      <c r="L53" s="10" t="inlineStr"/>
      <c r="M53" s="11" t="inlineStr">
        <is>
          <t>Pass</t>
        </is>
      </c>
      <c r="N53" s="11" t="inlineStr"/>
      <c r="O53" s="11" t="inlineStr"/>
      <c r="P53" s="11" t="inlineStr"/>
    </row>
    <row r="54">
      <c r="A54" s="10" t="n">
        <v>53</v>
      </c>
      <c r="B54" s="10" t="inlineStr">
        <is>
          <t>TC-SCHED-BE-07</t>
        </is>
      </c>
      <c r="C54" s="10" t="inlineStr">
        <is>
          <t>03 Health check scheduler</t>
        </is>
      </c>
      <c r="D54" s="10" t="inlineStr">
        <is>
          <t>Backend — Backend Test Cases (Scheduler Jobs, SSH Connection &amp; Thresholds)</t>
        </is>
      </c>
      <c r="E54" s="10" t="inlineStr">
        <is>
          <t>Xử lý lỗi phân tích kết quả SSH</t>
        </is>
      </c>
      <c r="F54" s="10" t="inlineStr">
        <is>
          <t>Node trả về kết quả định dạng không mong muốn do lệnh shell lỗi</t>
        </is>
      </c>
      <c r="G54" s="10" t="inlineStr">
        <is>
          <t>Chạy lệnh giả lập trả về chuỗi lỗi hoặc rỗng</t>
        </is>
      </c>
      <c r="H54" s="10" t="inlineStr">
        <is>
          <t>Output: `"Error: disk not found"`</t>
        </is>
      </c>
      <c r="I54" s="10" t="inlineStr">
        <is>
          <t>- Hàm `parseIntSafely()` bắt lỗi `NumberFormatException` thành công, trả về giá trị `-1`.
- Hệ thống ghi log `WARN`, bỏ qua Node hiện tại và tiếp tục quét Node tiếp theo trong danh sách (không crash thread scheduler).</t>
        </is>
      </c>
      <c r="J54" s="10" t="inlineStr">
        <is>
          <t>Robustness / Error Handling</t>
        </is>
      </c>
      <c r="K54" s="10" t="inlineStr"/>
      <c r="L54" s="10" t="inlineStr"/>
      <c r="M54" s="11" t="inlineStr">
        <is>
          <t>Pass</t>
        </is>
      </c>
      <c r="N54" s="11" t="inlineStr"/>
      <c r="O54" s="11" t="inlineStr"/>
      <c r="P54" s="11" t="inlineStr"/>
    </row>
    <row r="55">
      <c r="A55" s="10" t="n">
        <v>54</v>
      </c>
      <c r="B55" s="10" t="inlineStr">
        <is>
          <t>TC-SCHED-BE-08</t>
        </is>
      </c>
      <c r="C55" s="10" t="inlineStr">
        <is>
          <t>03 Health check scheduler</t>
        </is>
      </c>
      <c r="D55" s="10" t="inlineStr">
        <is>
          <t>Backend — Backend Test Cases (Scheduler Jobs, SSH Connection &amp; Thresholds)</t>
        </is>
      </c>
      <c r="E55" s="10" t="inlineStr">
        <is>
          <t>Xử lý sự cố mất kết nối SSH (SSH Failure)</t>
        </is>
      </c>
      <c r="F55" s="10" t="inlineStr">
        <is>
          <t>Node remote bị tắt máy, đổi password hoặc bị chặn firewall</t>
        </is>
      </c>
      <c r="G55" s="10" t="inlineStr">
        <is>
          <t>Chờ scheduler quét qua Node này</t>
        </is>
      </c>
      <c r="H55" s="10" t="inlineStr">
        <is>
          <t>Host: `10.0.0.99` (unreachable)</t>
        </is>
      </c>
      <c r="I55" s="10" t="inlineStr">
        <is>
          <t>- Kết nối SSH thất bại sau khi hết timeout TCP (10 giây).
- Hàm `checkDiskUsage()` bắt được lỗi `SshExecutionException` cụ thể.
- Ghi nhận bản ghi sự cố mới: `incidentType = "SSH_FAILURE"`, `status = "OPEN"`.
- Gửi email cảnh báo mất kết nối thành công.</t>
        </is>
      </c>
      <c r="J55" s="10" t="inlineStr">
        <is>
          <t>Robustness / Security</t>
        </is>
      </c>
      <c r="K55" s="10" t="inlineStr"/>
      <c r="L55" s="10" t="inlineStr"/>
      <c r="M55" s="11" t="inlineStr">
        <is>
          <t>Pass</t>
        </is>
      </c>
      <c r="N55" s="11" t="inlineStr"/>
      <c r="O55" s="11" t="inlineStr"/>
      <c r="P55" s="11" t="inlineStr"/>
    </row>
    <row r="56">
      <c r="A56" s="10" t="n">
        <v>55</v>
      </c>
      <c r="B56" s="10" t="inlineStr">
        <is>
          <t>TC-SCHED-BE-09</t>
        </is>
      </c>
      <c r="C56" s="10" t="inlineStr">
        <is>
          <t>03 Health check scheduler</t>
        </is>
      </c>
      <c r="D56" s="10" t="inlineStr">
        <is>
          <t>Backend — Backend Test Cases (Scheduler Jobs, SSH Connection &amp; Thresholds)</t>
        </is>
      </c>
      <c r="E56" s="10" t="inlineStr">
        <is>
          <t>Đánh giá ngưỡng Disk Critical (&gt;= 90%)</t>
        </is>
      </c>
      <c r="F56" s="10" t="inlineStr">
        <is>
          <t>Disk usage của Node đo được là 92%</t>
        </is>
      </c>
      <c r="G56" s="10" t="inlineStr">
        <is>
          <t>Chờ scheduler quét</t>
        </is>
      </c>
      <c r="H56" s="10" t="inlineStr">
        <is>
          <t>Đo được: `92`</t>
        </is>
      </c>
      <c r="I56" s="10" t="inlineStr">
        <is>
          <t>- Kích hoạt hàm `handleCriticalDisk()`.
- Lưu bản ghi sự cố mới vào DB với type `DISK_CRITICAL` và status `OPEN`.
- Gửi email thông báo khẩn cấp (Header đỏ).</t>
        </is>
      </c>
      <c r="J56" s="10" t="inlineStr">
        <is>
          <t>Functional</t>
        </is>
      </c>
      <c r="K56" s="10" t="inlineStr"/>
      <c r="L56" s="10" t="inlineStr"/>
      <c r="M56" s="11" t="inlineStr">
        <is>
          <t>Pass</t>
        </is>
      </c>
      <c r="N56" s="11" t="inlineStr"/>
      <c r="O56" s="11" t="inlineStr"/>
      <c r="P56" s="11" t="inlineStr"/>
    </row>
    <row r="57">
      <c r="A57" s="10" t="n">
        <v>56</v>
      </c>
      <c r="B57" s="10" t="inlineStr">
        <is>
          <t>TC-SCHED-BE-10</t>
        </is>
      </c>
      <c r="C57" s="10" t="inlineStr">
        <is>
          <t>03 Health check scheduler</t>
        </is>
      </c>
      <c r="D57" s="10" t="inlineStr">
        <is>
          <t>Backend — Backend Test Cases (Scheduler Jobs, SSH Connection &amp; Thresholds)</t>
        </is>
      </c>
      <c r="E57" s="10" t="inlineStr">
        <is>
          <t>Đánh giá ngưỡng Disk Warning (80% - 89%)</t>
        </is>
      </c>
      <c r="F57" s="10" t="inlineStr">
        <is>
          <t>Disk usage của Node đo được là 85%</t>
        </is>
      </c>
      <c r="G57" s="10" t="inlineStr">
        <is>
          <t>Chờ scheduler quét</t>
        </is>
      </c>
      <c r="H57" s="10" t="inlineStr">
        <is>
          <t>Đo được: `85`</t>
        </is>
      </c>
      <c r="I57" s="10" t="inlineStr">
        <is>
          <t>- Kích hoạt hàm `handleWarningDisk()`.
- Lưu bản ghi sự cố mới vào DB với type `DISK_WARNING` và status `MONITORING`.
- Ghi log hệ thống nhưng KHÔNG gửi email thông báo (tránh spam hòm thư của vận hành viên).</t>
        </is>
      </c>
      <c r="J57" s="10" t="inlineStr">
        <is>
          <t>Functional</t>
        </is>
      </c>
      <c r="K57" s="10" t="inlineStr"/>
      <c r="L57" s="10" t="inlineStr"/>
      <c r="M57" s="11" t="inlineStr">
        <is>
          <t>Pass</t>
        </is>
      </c>
      <c r="N57" s="11" t="inlineStr"/>
      <c r="O57" s="11" t="inlineStr"/>
      <c r="P57" s="11" t="inlineStr"/>
    </row>
    <row r="58">
      <c r="A58" s="10" t="n">
        <v>57</v>
      </c>
      <c r="B58" s="10" t="inlineStr">
        <is>
          <t>TC-SCHED-BE-11</t>
        </is>
      </c>
      <c r="C58" s="10" t="inlineStr">
        <is>
          <t>03 Health check scheduler</t>
        </is>
      </c>
      <c r="D58" s="10" t="inlineStr">
        <is>
          <t>Backend — Backend Test Cases (Scheduler Jobs, SSH Connection &amp; Thresholds)</t>
        </is>
      </c>
      <c r="E58" s="10" t="inlineStr">
        <is>
          <t>Kiểm tra dưới ngưỡng Disk (&lt; 80%)</t>
        </is>
      </c>
      <c r="F58" s="10" t="inlineStr">
        <is>
          <t>Disk usage của Node đo được là 75%</t>
        </is>
      </c>
      <c r="G58" s="10" t="inlineStr">
        <is>
          <t>Chờ scheduler quét</t>
        </is>
      </c>
      <c r="H58" s="10" t="inlineStr">
        <is>
          <t>Đo được: `75`</t>
        </is>
      </c>
      <c r="I58" s="10" t="inlineStr">
        <is>
          <t>- Hệ thống ghi log `INFO` về trạng thái bình thường.
- Không tạo incident, không gửi cảnh báo email.</t>
        </is>
      </c>
      <c r="J58" s="10" t="inlineStr">
        <is>
          <t>Functional</t>
        </is>
      </c>
      <c r="K58" s="10" t="inlineStr"/>
      <c r="L58" s="10" t="inlineStr"/>
      <c r="M58" s="11" t="inlineStr">
        <is>
          <t>Pass</t>
        </is>
      </c>
      <c r="N58" s="11" t="inlineStr"/>
      <c r="O58" s="11" t="inlineStr"/>
      <c r="P58" s="11" t="inlineStr"/>
    </row>
    <row r="59">
      <c r="A59" s="10" t="n">
        <v>58</v>
      </c>
      <c r="B59" s="10" t="inlineStr">
        <is>
          <t>TC-SCHED-BE-12</t>
        </is>
      </c>
      <c r="C59" s="10" t="inlineStr">
        <is>
          <t>03 Health check scheduler</t>
        </is>
      </c>
      <c r="D59" s="10" t="inlineStr">
        <is>
          <t>Backend — Backend Test Cases (Scheduler Jobs, SSH Connection &amp; Thresholds)</t>
        </is>
      </c>
      <c r="E59" s="10" t="inlineStr">
        <is>
          <t>Quét song song nhiều Node cùng lúc (v2.0)</t>
        </is>
      </c>
      <c r="F59" s="10" t="inlineStr">
        <is>
          <t>Hệ thống quản lý &gt; 50 Nodes active</t>
        </is>
      </c>
      <c r="G59" s="10" t="inlineStr">
        <is>
          <t>Theo dõi log ghi nhận thời gian bắt đầu và kết thúc của các Node</t>
        </is>
      </c>
      <c r="H59" s="10" t="inlineStr">
        <is>
          <t>N/A</t>
        </is>
      </c>
      <c r="I59" s="10" t="inlineStr">
        <is>
          <t>- Hệ thống sử dụng `ThreadPoolTaskExecutor` để quét song song nhiều Node.
- Thời gian hoàn thành toàn bộ chu kỳ quét ngắn hơn nhiều so với việc quét tuần tự từng Node.</t>
        </is>
      </c>
      <c r="J59" s="10" t="inlineStr">
        <is>
          <t>Performance</t>
        </is>
      </c>
      <c r="K59" s="10" t="inlineStr"/>
      <c r="L59" s="10" t="inlineStr"/>
      <c r="M59" s="11" t="inlineStr">
        <is>
          <t>Chưa chạy</t>
        </is>
      </c>
      <c r="N59" s="11" t="inlineStr"/>
      <c r="O59" s="11" t="inlineStr"/>
      <c r="P59" s="11" t="inlineStr"/>
    </row>
    <row r="60">
      <c r="A60" s="10" t="n">
        <v>59</v>
      </c>
      <c r="B60" s="10" t="inlineStr">
        <is>
          <t>TC-SCHED-FE-01</t>
        </is>
      </c>
      <c r="C60" s="10" t="inlineStr">
        <is>
          <t>03 Health check scheduler</t>
        </is>
      </c>
      <c r="D60" s="10" t="inlineStr">
        <is>
          <t>Frontend — Frontend Test Cases (UI Triggers &amp; Limits)</t>
        </is>
      </c>
      <c r="E60" s="10" t="inlineStr">
        <is>
          <t>Thực hiện quét khẩn cấp bằng nút "Kiểm tra ngay"</t>
        </is>
      </c>
      <c r="F60" s="10" t="inlineStr">
        <is>
          <t>Người dùng đăng nhập quyền ADMIN, đang ở trang chi tiết Node (NodeDetail)</t>
        </is>
      </c>
      <c r="G60" s="10" t="inlineStr">
        <is>
          <t>Click nút "Kiểm tra hệ thống ngay"</t>
        </is>
      </c>
      <c r="H60" s="10" t="inlineStr">
        <is>
          <t>N/A</t>
        </is>
      </c>
      <c r="I60" s="10" t="inlineStr">
        <is>
          <t>- Giao diện hiển thị Toast loading: "Đang gửi lệnh quét khẩn cấp...".
- Gửi request `POST /api/check-now` lên backend.
- Sau khi quét thành công, cập nhật các progress bar CPU/Disk/RAM trên UI và hiển thị Toast báo thành công.</t>
        </is>
      </c>
      <c r="J60" s="10" t="inlineStr">
        <is>
          <t>Functional / UI</t>
        </is>
      </c>
      <c r="K60" s="10" t="inlineStr"/>
      <c r="L60" s="10" t="inlineStr"/>
      <c r="M60" s="11" t="inlineStr">
        <is>
          <t>Pass</t>
        </is>
      </c>
      <c r="N60" s="11" t="inlineStr"/>
      <c r="O60" s="11" t="inlineStr"/>
      <c r="P60" s="11" t="inlineStr"/>
    </row>
    <row r="61">
      <c r="A61" s="10" t="n">
        <v>60</v>
      </c>
      <c r="B61" s="10" t="inlineStr">
        <is>
          <t>TC-SCHED-FE-02</t>
        </is>
      </c>
      <c r="C61" s="10" t="inlineStr">
        <is>
          <t>03 Health check scheduler</t>
        </is>
      </c>
      <c r="D61" s="10" t="inlineStr">
        <is>
          <t>Frontend — Frontend Test Cases (UI Triggers &amp; Limits)</t>
        </is>
      </c>
      <c r="E61" s="10" t="inlineStr">
        <is>
          <t>Chặn lạm dụng quét liên tục (Rate Limiting)</t>
        </is>
      </c>
      <c r="F61" s="10" t="inlineStr">
        <is>
          <t>Người dùng là ADMIN</t>
        </is>
      </c>
      <c r="G61" s="10" t="inlineStr">
        <is>
          <t>Click liên tục nút "Kiểm tra ngay" &gt; 5 lần trong vòng 1 phút</t>
        </is>
      </c>
      <c r="H61" s="10" t="inlineStr">
        <is>
          <t>N/A</t>
        </is>
      </c>
      <c r="I61" s="10" t="inlineStr">
        <is>
          <t>- Hệ thống hiển thị Toast báo lỗi: "Thao tác quá nhanh. Vui lòng đợi trong giây lát."
- Request gọi API bị chặn hoặc backend trả về mã lỗi 429 và được FE bắt lỗi hiển thị thích hợp.</t>
        </is>
      </c>
      <c r="J61" s="10" t="inlineStr">
        <is>
          <t>Performance / UX</t>
        </is>
      </c>
      <c r="K61" s="10" t="inlineStr"/>
      <c r="L61" s="10" t="inlineStr"/>
      <c r="M61" s="11" t="inlineStr">
        <is>
          <t>Pass</t>
        </is>
      </c>
      <c r="N61" s="11" t="inlineStr"/>
      <c r="O61" s="11" t="inlineStr"/>
      <c r="P61" s="11" t="inlineStr"/>
    </row>
    <row r="62">
      <c r="A62" s="10" t="n">
        <v>61</v>
      </c>
      <c r="B62" s="10" t="inlineStr">
        <is>
          <t>TC-SCHED-FE-03</t>
        </is>
      </c>
      <c r="C62" s="10" t="inlineStr">
        <is>
          <t>03 Health check scheduler</t>
        </is>
      </c>
      <c r="D62" s="10" t="inlineStr">
        <is>
          <t>Frontend — Frontend Test Cases (UI Triggers &amp; Limits)</t>
        </is>
      </c>
      <c r="E62" s="10" t="inlineStr">
        <is>
          <t>Ẩn nút quét khẩn cấp đối với Viewer</t>
        </is>
      </c>
      <c r="F62" s="10" t="inlineStr">
        <is>
          <t>Người dùng đăng nhập quyền VIEWER</t>
        </is>
      </c>
      <c r="G62" s="10" t="inlineStr">
        <is>
          <t>Xem giao diện NodeDetail</t>
        </is>
      </c>
      <c r="H62" s="10" t="inlineStr">
        <is>
          <t>Username: `viewer`</t>
        </is>
      </c>
      <c r="I62" s="10" t="inlineStr">
        <is>
          <t>- Nút "Kiểm tra ngay" KHÔNG xuất hiện trên giao diện.</t>
        </is>
      </c>
      <c r="J62" s="10" t="inlineStr">
        <is>
          <t>Security / UI</t>
        </is>
      </c>
      <c r="K62" s="10" t="inlineStr"/>
      <c r="L62" s="10" t="inlineStr"/>
      <c r="M62" s="11" t="inlineStr">
        <is>
          <t>Pass</t>
        </is>
      </c>
      <c r="N62" s="11" t="inlineStr"/>
      <c r="O62" s="11" t="inlineStr"/>
      <c r="P62" s="11" t="inlineStr"/>
    </row>
    <row r="63">
      <c r="A63" s="10" t="n">
        <v>62</v>
      </c>
      <c r="B63" s="10" t="inlineStr">
        <is>
          <t>TC-INC-BE-01</t>
        </is>
      </c>
      <c r="C63" s="10" t="inlineStr">
        <is>
          <t>04 Quản lý sự cố</t>
        </is>
      </c>
      <c r="D63" s="10" t="inlineStr">
        <is>
          <t>Backend — Backend Test Cases (API, Dedup &amp; Actions)</t>
        </is>
      </c>
      <c r="E63" s="10" t="inlineStr">
        <is>
          <t>Lấy danh sách sự cố gần nhất thành công</t>
        </is>
      </c>
      <c r="F63" s="10" t="inlineStr">
        <is>
          <t>Database có sẵn dữ liệu sự cố</t>
        </is>
      </c>
      <c r="G63" s="10" t="inlineStr">
        <is>
          <t>Gửi request `GET /api/incidents`</t>
        </is>
      </c>
      <c r="H63" s="10" t="inlineStr">
        <is>
          <t>Header:
`Authorization: Bearer &lt;token&gt;`</t>
        </is>
      </c>
      <c r="I63" s="10" t="inlineStr">
        <is>
          <t>- Trả về `HTTP 200 OK`.
- Response chứa tối đa 50 sự cố mới nhất, được sắp xếp giảm dần theo thời gian phát hiện (`detectedAt`).
- Dữ liệu trả về ở dạng JSON.</t>
        </is>
      </c>
      <c r="J63" s="10" t="inlineStr">
        <is>
          <t>Functional</t>
        </is>
      </c>
      <c r="K63" s="10" t="inlineStr"/>
      <c r="L63" s="10" t="inlineStr"/>
      <c r="M63" s="11" t="inlineStr">
        <is>
          <t>Pass</t>
        </is>
      </c>
      <c r="N63" s="11" t="inlineStr"/>
      <c r="O63" s="11" t="inlineStr"/>
      <c r="P63" s="11" t="inlineStr"/>
    </row>
    <row r="64">
      <c r="A64" s="10" t="n">
        <v>63</v>
      </c>
      <c r="B64" s="10" t="inlineStr">
        <is>
          <t>TC-INC-BE-02</t>
        </is>
      </c>
      <c r="C64" s="10" t="inlineStr">
        <is>
          <t>04 Quản lý sự cố</t>
        </is>
      </c>
      <c r="D64" s="10" t="inlineStr">
        <is>
          <t>Backend — Backend Test Cases (API, Dedup &amp; Actions)</t>
        </is>
      </c>
      <c r="E64" s="10" t="inlineStr">
        <is>
          <t>Tránh lỗi N+1 khi lấy sự cố và bảo mật Entity</t>
        </is>
      </c>
      <c r="F64" s="10" t="inlineStr">
        <is>
          <t>Hệ thống đang chạy</t>
        </is>
      </c>
      <c r="G64" s="10" t="inlineStr">
        <is>
          <t>1. Gửi request `GET /api/incidents`.
2. Theo dõi các câu lệnh SQL sinh ra ở DB.</t>
        </is>
      </c>
      <c r="H64" s="10" t="inlineStr">
        <is>
          <t>N/A</t>
        </is>
      </c>
      <c r="I64" s="10" t="inlineStr">
        <is>
          <t>- Đạt: Sử dụng `JOIN FETCH` trong JPA Query hoặc sử dụng DTO `IncidentLogResponse`. Không serialize trực tiếp Hibernate Entity.
- Chỉ sinh ra 1 câu lệnh SQL duy nhất để lấy thông tin (không bị lỗi N+1 query).</t>
        </is>
      </c>
      <c r="J64" s="10" t="inlineStr">
        <is>
          <t>Performance / Code Quality</t>
        </is>
      </c>
      <c r="K64" s="10" t="inlineStr"/>
      <c r="L64" s="10" t="inlineStr"/>
      <c r="M64" s="11" t="inlineStr">
        <is>
          <t>Pass</t>
        </is>
      </c>
      <c r="N64" s="11" t="inlineStr"/>
      <c r="O64" s="11" t="inlineStr"/>
      <c r="P64" s="11" t="inlineStr"/>
    </row>
    <row r="65">
      <c r="A65" s="10" t="n">
        <v>64</v>
      </c>
      <c r="B65" s="10" t="inlineStr">
        <is>
          <t>TC-INC-BE-03</t>
        </is>
      </c>
      <c r="C65" s="10" t="inlineStr">
        <is>
          <t>04 Quản lý sự cố</t>
        </is>
      </c>
      <c r="D65" s="10" t="inlineStr">
        <is>
          <t>Backend — Backend Test Cases (API, Dedup &amp; Actions)</t>
        </is>
      </c>
      <c r="E65" s="10" t="inlineStr">
        <is>
          <t>Giải quyết sự cố thành công (Resolve) có ghi chú</t>
        </is>
      </c>
      <c r="F65" s="10" t="inlineStr">
        <is>
          <t>Sự cố có `id = 101` đang ở trạng thái `OPEN`</t>
        </is>
      </c>
      <c r="G65" s="10" t="inlineStr">
        <is>
          <t>Gửi request `PUT /api/incidents/101/resolve` với ghi chú xử lý</t>
        </is>
      </c>
      <c r="H65" s="10" t="inlineStr">
        <is>
          <t>Body:
`{ "resolutionAction": "Đã dọn dẹp thư mục log cũ, giải phóng 30GB" }`</t>
        </is>
      </c>
      <c r="I65" s="10" t="inlineStr">
        <is>
          <t>- Trả về `HTTP 200 OK`.
- Bản ghi sự cố được cập nhật: `status = "RESOLVED"`, `resolvedAt` được set thời gian hiện tại, `resolutionAction` lưu đúng chuỗi ghi chú.
- Sinh ra log hoạt động tự động trong bảng `Audit_Logs`.</t>
        </is>
      </c>
      <c r="J65" s="10" t="inlineStr">
        <is>
          <t>Functional</t>
        </is>
      </c>
      <c r="K65" s="10" t="inlineStr"/>
      <c r="L65" s="10" t="inlineStr"/>
      <c r="M65" s="11" t="inlineStr">
        <is>
          <t>Pass</t>
        </is>
      </c>
      <c r="N65" s="11" t="inlineStr"/>
      <c r="O65" s="11" t="inlineStr"/>
      <c r="P65" s="11" t="inlineStr"/>
    </row>
    <row r="66">
      <c r="A66" s="10" t="n">
        <v>65</v>
      </c>
      <c r="B66" s="10" t="inlineStr">
        <is>
          <t>TC-INC-BE-04</t>
        </is>
      </c>
      <c r="C66" s="10" t="inlineStr">
        <is>
          <t>04 Quản lý sự cố</t>
        </is>
      </c>
      <c r="D66" s="10" t="inlineStr">
        <is>
          <t>Backend — Backend Test Cases (API, Dedup &amp; Actions)</t>
        </is>
      </c>
      <c r="E66" s="10" t="inlineStr">
        <is>
          <t>Giải quyết sự cố thành công không gửi ghi chú</t>
        </is>
      </c>
      <c r="F66" s="10" t="inlineStr">
        <is>
          <t>Sự cố có `id = 101` đang ở trạng thái `OPEN`</t>
        </is>
      </c>
      <c r="G66" s="10" t="inlineStr">
        <is>
          <t>Gửi request `PUT /api/incidents/101/resolve` với body trống</t>
        </is>
      </c>
      <c r="H66" s="10" t="inlineStr">
        <is>
          <t>Body: `{}`</t>
        </is>
      </c>
      <c r="I66" s="10" t="inlineStr">
        <is>
          <t>- Trả về `HTTP 200 OK`.
- `status = "RESOLVED"`.
- Trường `resolutionAction` tự động được gán giá trị mặc định: "Sự cố đã được xác nhận và giải quyết."</t>
        </is>
      </c>
      <c r="J66" s="10" t="inlineStr">
        <is>
          <t>Functional</t>
        </is>
      </c>
      <c r="K66" s="10" t="inlineStr"/>
      <c r="L66" s="10" t="inlineStr"/>
      <c r="M66" s="11" t="inlineStr">
        <is>
          <t>Pass</t>
        </is>
      </c>
      <c r="N66" s="11" t="inlineStr"/>
      <c r="O66" s="11" t="inlineStr"/>
      <c r="P66" s="11" t="inlineStr"/>
    </row>
    <row r="67">
      <c r="A67" s="10" t="n">
        <v>66</v>
      </c>
      <c r="B67" s="10" t="inlineStr">
        <is>
          <t>TC-INC-BE-05</t>
        </is>
      </c>
      <c r="C67" s="10" t="inlineStr">
        <is>
          <t>04 Quản lý sự cố</t>
        </is>
      </c>
      <c r="D67" s="10" t="inlineStr">
        <is>
          <t>Backend — Backend Test Cases (API, Dedup &amp; Actions)</t>
        </is>
      </c>
      <c r="E67" s="10" t="inlineStr">
        <is>
          <t>Xác nhận sự cố thành công (Acknowledge) (v2.0)</t>
        </is>
      </c>
      <c r="F67" s="10" t="inlineStr">
        <is>
          <t>Sự cố có `id = 103` đang ở trạng thái `OPEN`</t>
        </is>
      </c>
      <c r="G67" s="10" t="inlineStr">
        <is>
          <t>Gửi request `PUT /api/incidents/103/acknowledge`</t>
        </is>
      </c>
      <c r="H67" s="10" t="inlineStr">
        <is>
          <t>N/A</t>
        </is>
      </c>
      <c r="I67" s="10" t="inlineStr">
        <is>
          <t>- Trả về `HTTP 200 OK`.
- Bản ghi sự cố cập nhật: `status = "ACKNOWLEDGED"`.</t>
        </is>
      </c>
      <c r="J67" s="10" t="inlineStr">
        <is>
          <t>Functional</t>
        </is>
      </c>
      <c r="K67" s="10" t="inlineStr"/>
      <c r="L67" s="10" t="inlineStr"/>
      <c r="M67" s="11" t="inlineStr">
        <is>
          <t>Chưa chạy</t>
        </is>
      </c>
      <c r="N67" s="11" t="inlineStr"/>
      <c r="O67" s="11" t="inlineStr"/>
      <c r="P67" s="11" t="inlineStr"/>
    </row>
    <row r="68">
      <c r="A68" s="10" t="n">
        <v>67</v>
      </c>
      <c r="B68" s="10" t="inlineStr">
        <is>
          <t>TC-INC-BE-06</t>
        </is>
      </c>
      <c r="C68" s="10" t="inlineStr">
        <is>
          <t>04 Quản lý sự cố</t>
        </is>
      </c>
      <c r="D68" s="10" t="inlineStr">
        <is>
          <t>Backend — Backend Test Cases (API, Dedup &amp; Actions)</t>
        </is>
      </c>
      <c r="E68" s="10" t="inlineStr">
        <is>
          <t>Xử lý trùng lặp sự cố trong các chu kỳ quét liên tiếp (Dedup) (v2.0)</t>
        </is>
      </c>
      <c r="F68" s="10" t="inlineStr">
        <is>
          <t>Đang có một sự cố `DISK_CRITICAL` trạng thái `OPEN` của Node 1 trong DB</t>
        </is>
      </c>
      <c r="G68" s="10" t="inlineStr">
        <is>
          <t>Scheduler phát hiện Disk của Node 1 tiếp tục vượt ngưỡng 90% ở chu kỳ tiếp theo</t>
        </is>
      </c>
      <c r="H68" s="10" t="inlineStr">
        <is>
          <t>N/A</t>
        </is>
      </c>
      <c r="I68" s="10" t="inlineStr">
        <is>
          <t>- Đạt: Hệ thống KHÔNG thêm bản ghi mới vào bảng `Incident_Logs`.
- Bản ghi hiện tại được cập nhật: cột `occurrence_count` tăng thêm 1, cột `last_seen_at` cập nhật thời gian quét hiện tại.</t>
        </is>
      </c>
      <c r="J68" s="10" t="inlineStr">
        <is>
          <t>Logic / Database</t>
        </is>
      </c>
      <c r="K68" s="10" t="inlineStr"/>
      <c r="L68" s="10" t="inlineStr"/>
      <c r="M68" s="11" t="inlineStr">
        <is>
          <t>Chưa chạy</t>
        </is>
      </c>
      <c r="N68" s="11" t="inlineStr"/>
      <c r="O68" s="11" t="inlineStr"/>
      <c r="P68" s="11" t="inlineStr"/>
    </row>
    <row r="69">
      <c r="A69" s="10" t="n">
        <v>68</v>
      </c>
      <c r="B69" s="10" t="inlineStr">
        <is>
          <t>TC-INC-BE-07</t>
        </is>
      </c>
      <c r="C69" s="10" t="inlineStr">
        <is>
          <t>04 Quản lý sự cố</t>
        </is>
      </c>
      <c r="D69" s="10" t="inlineStr">
        <is>
          <t>Backend — Backend Test Cases (API, Dedup &amp; Actions)</t>
        </is>
      </c>
      <c r="E69" s="10" t="inlineStr">
        <is>
          <t>Tạo sự cố mới khi sự cố cũ cùng loại đã được xử lý</t>
        </is>
      </c>
      <c r="F69" s="10" t="inlineStr">
        <is>
          <t>Sự cố `DISK_CRITICAL` trước đó của Node 1 đã ở trạng thái `RESOLVED`</t>
        </is>
      </c>
      <c r="G69" s="10" t="inlineStr">
        <is>
          <t>Scheduler phát hiện Disk của Node 1 tiếp tục vượt ngưỡng 90%</t>
        </is>
      </c>
      <c r="H69" s="10" t="inlineStr">
        <is>
          <t>N/A</t>
        </is>
      </c>
      <c r="I69" s="10" t="inlineStr">
        <is>
          <t>- Hệ thống tạo một bản ghi `IncidentLog` mới hoàn toàn với `status = "OPEN"` và `occurrence_count = 1`.</t>
        </is>
      </c>
      <c r="J69" s="10" t="inlineStr">
        <is>
          <t>Logic / Database</t>
        </is>
      </c>
      <c r="K69" s="10" t="inlineStr"/>
      <c r="L69" s="10" t="inlineStr"/>
      <c r="M69" s="11" t="inlineStr">
        <is>
          <t>Pass</t>
        </is>
      </c>
      <c r="N69" s="11" t="inlineStr"/>
      <c r="O69" s="11" t="inlineStr"/>
      <c r="P69" s="11" t="inlineStr"/>
    </row>
    <row r="70">
      <c r="A70" s="10" t="n">
        <v>69</v>
      </c>
      <c r="B70" s="10" t="inlineStr">
        <is>
          <t>TC-INC-FE-01</t>
        </is>
      </c>
      <c r="C70" s="10" t="inlineStr">
        <is>
          <t>04 Quản lý sự cố</t>
        </is>
      </c>
      <c r="D70" s="10" t="inlineStr">
        <is>
          <t>Frontend — Frontend Test Cases (UI Components, Filters &amp; Dialogs)</t>
        </is>
      </c>
      <c r="E70" s="10" t="inlineStr">
        <is>
          <t>Hiển thị giao diện bảng Sự cố</t>
        </is>
      </c>
      <c r="F70" s="10" t="inlineStr">
        <is>
          <t>Người dùng đã đăng nhập, truy cập `/app/incidents`</t>
        </is>
      </c>
      <c r="G70" s="10" t="inlineStr">
        <is>
          <t>Xem danh sách sự cố và phân trang</t>
        </is>
      </c>
      <c r="H70" s="10" t="inlineStr">
        <is>
          <t>N/A</t>
        </is>
      </c>
      <c r="I70" s="10" t="inlineStr">
        <is>
          <t>- Bảng sự cố hiển thị các cột: ID, Node (dạng link sang chi tiết Node), Loại sự cố (badge màu tương ứng), Mô tả, Số lần (badge đỏ nếu &gt; 1), Thời gian, Trạng thái (badge màu), Người xử lý, Hành động.
- Chỉ hiển thị 20 bản ghi trên một trang. Nút phân trang hoạt động bình thường.</t>
        </is>
      </c>
      <c r="J70" s="10" t="inlineStr">
        <is>
          <t>Functional / UI</t>
        </is>
      </c>
      <c r="K70" s="10" t="inlineStr"/>
      <c r="L70" s="10" t="inlineStr"/>
      <c r="M70" s="11" t="inlineStr">
        <is>
          <t>Pass</t>
        </is>
      </c>
      <c r="N70" s="11" t="inlineStr"/>
      <c r="O70" s="11" t="inlineStr"/>
      <c r="P70" s="11" t="inlineStr"/>
    </row>
    <row r="71">
      <c r="A71" s="10" t="n">
        <v>70</v>
      </c>
      <c r="B71" s="10" t="inlineStr">
        <is>
          <t>TC-NODE-FE-02</t>
        </is>
      </c>
      <c r="C71" s="10" t="inlineStr">
        <is>
          <t>02 Quản lý node</t>
        </is>
      </c>
      <c r="D71" s="10" t="inlineStr">
        <is>
          <t>Frontend — Frontend Test Cases (UI Components, Filters &amp; Dialogs)</t>
        </is>
      </c>
      <c r="E71" s="10" t="inlineStr">
        <is>
          <t>Phân biệt màu sắc Badge theo Loại sự cố và Trạng thái</t>
        </is>
      </c>
      <c r="F71" s="10" t="inlineStr">
        <is>
          <t>Bảng sự cố đang hiển thị các sự cố khác nhau</t>
        </is>
      </c>
      <c r="G71" s="10" t="inlineStr">
        <is>
          <t>Đối chiếu màu sắc các badge hiển thị trên UI</t>
        </is>
      </c>
      <c r="H71" s="10" t="inlineStr">
        <is>
          <t>N/A</t>
        </is>
      </c>
      <c r="I71" s="10" t="inlineStr">
        <is>
          <t>- Màu Loại: `DISK/CPU/RAM_CRITICAL` màu đỏ đậm, `DISK/CPU/RAM_HIGH/WARNING` màu vàng cam, `SSH_FAILURE` màu tím.
- Màu Trạng thái: `OPEN` đỏ, `MONITORING` vàng, `ACKNOWLEDGED` xanh dương nhạt, `RESOLVED` xanh lá.</t>
        </is>
      </c>
      <c r="J71" s="10" t="inlineStr">
        <is>
          <t>UI/UX</t>
        </is>
      </c>
      <c r="K71" s="10" t="inlineStr"/>
      <c r="L71" s="10" t="inlineStr"/>
      <c r="M71" s="11" t="inlineStr">
        <is>
          <t>Pass</t>
        </is>
      </c>
      <c r="N71" s="11" t="inlineStr"/>
      <c r="O71" s="11" t="inlineStr"/>
      <c r="P71" s="11" t="inlineStr"/>
    </row>
    <row r="72">
      <c r="A72" s="10" t="n">
        <v>71</v>
      </c>
      <c r="B72" s="10" t="inlineStr">
        <is>
          <t>TC-INC-FE-03</t>
        </is>
      </c>
      <c r="C72" s="10" t="inlineStr">
        <is>
          <t>04 Quản lý sự cố</t>
        </is>
      </c>
      <c r="D72" s="10" t="inlineStr">
        <is>
          <t>Frontend — Frontend Test Cases (UI Components, Filters &amp; Dialogs)</t>
        </is>
      </c>
      <c r="E72" s="10" t="inlineStr">
        <is>
          <t>Lọc danh sách sự cố theo Trạng thái</t>
        </is>
      </c>
      <c r="F72" s="10" t="inlineStr">
        <is>
          <t>Giao diện `/app/incidents` đang hiển thị</t>
        </is>
      </c>
      <c r="G72" s="10" t="inlineStr">
        <is>
          <t>Click vào nút "OPEN" trên thanh bộ lọc trạng thái</t>
        </is>
      </c>
      <c r="H72" s="10" t="inlineStr">
        <is>
          <t>N/A</t>
        </is>
      </c>
      <c r="I72" s="10" t="inlineStr">
        <is>
          <t>- Danh sách sự cố lập tức thu gọn chỉ hiển thị các sự cố có trạng thái `OPEN`.
- Nút "OPEN" trên thanh trạng thái chuyển sang trạng thái active (nổi bật).</t>
        </is>
      </c>
      <c r="J72" s="10" t="inlineStr">
        <is>
          <t>Functional / UI</t>
        </is>
      </c>
      <c r="K72" s="10" t="inlineStr"/>
      <c r="L72" s="10" t="inlineStr"/>
      <c r="M72" s="11" t="inlineStr">
        <is>
          <t>Pass</t>
        </is>
      </c>
      <c r="N72" s="11" t="inlineStr"/>
      <c r="O72" s="11" t="inlineStr"/>
      <c r="P72" s="11" t="inlineStr"/>
    </row>
    <row r="73">
      <c r="A73" s="10" t="n">
        <v>72</v>
      </c>
      <c r="B73" s="10" t="inlineStr">
        <is>
          <t>TC-INC-FE-04</t>
        </is>
      </c>
      <c r="C73" s="10" t="inlineStr">
        <is>
          <t>04 Quản lý sự cố</t>
        </is>
      </c>
      <c r="D73" s="10" t="inlineStr">
        <is>
          <t>Frontend — Frontend Test Cases (UI Components, Filters &amp; Dialogs)</t>
        </is>
      </c>
      <c r="E73" s="10" t="inlineStr">
        <is>
          <t>Lọc danh sách sự cố theo Node hoặc Loại sự cố</t>
        </is>
      </c>
      <c r="F73" s="10" t="inlineStr">
        <is>
          <t>Danh sách sự cố đang hiển thị</t>
        </is>
      </c>
      <c r="G73" s="10" t="inlineStr">
        <is>
          <t>Chọn Node `prod-db-master` từ dropdown lọc Node</t>
        </is>
      </c>
      <c r="H73" s="10" t="inlineStr">
        <is>
          <t>N/A</t>
        </is>
      </c>
      <c r="I73" s="10" t="inlineStr">
        <is>
          <t>- Bảng chỉ hiển thị các sự cố thuộc về máy chủ `prod-db-master`.</t>
        </is>
      </c>
      <c r="J73" s="10" t="inlineStr">
        <is>
          <t>Functional / UI</t>
        </is>
      </c>
      <c r="K73" s="10" t="inlineStr"/>
      <c r="L73" s="10" t="inlineStr"/>
      <c r="M73" s="11" t="inlineStr">
        <is>
          <t>Pass</t>
        </is>
      </c>
      <c r="N73" s="11" t="inlineStr"/>
      <c r="O73" s="11" t="inlineStr"/>
      <c r="P73" s="11" t="inlineStr"/>
    </row>
    <row r="74">
      <c r="A74" s="10" t="n">
        <v>73</v>
      </c>
      <c r="B74" s="10" t="inlineStr">
        <is>
          <t>TC-INC-FE-05</t>
        </is>
      </c>
      <c r="C74" s="10" t="inlineStr">
        <is>
          <t>04 Quản lý sự cố</t>
        </is>
      </c>
      <c r="D74" s="10" t="inlineStr">
        <is>
          <t>Frontend — Frontend Test Cases (UI Components, Filters &amp; Dialogs)</t>
        </is>
      </c>
      <c r="E74" s="10" t="inlineStr">
        <is>
          <t>Tìm kiếm sự cố bằng ô Search</t>
        </is>
      </c>
      <c r="F74" s="10" t="inlineStr">
        <is>
          <t>Danh sách sự cố đang hiển thị</t>
        </is>
      </c>
      <c r="G74" s="10" t="inlineStr">
        <is>
          <t>Nhập từ khóa tìm kiếm vào ô tìm kiếm</t>
        </is>
      </c>
      <c r="H74" s="10" t="inlineStr">
        <is>
          <t>Từ khóa: `smtp`</t>
        </is>
      </c>
      <c r="I74" s="10" t="inlineStr">
        <is>
          <t>- Bảng tự động cập nhật hiển thị kết quả khớp với tên Node hoặc nội dung mô tả chứa chữ `smtp` sau 300ms (Debounce).</t>
        </is>
      </c>
      <c r="J74" s="10" t="inlineStr">
        <is>
          <t>Functional / UI</t>
        </is>
      </c>
      <c r="K74" s="10" t="inlineStr"/>
      <c r="L74" s="10" t="inlineStr"/>
      <c r="M74" s="11" t="inlineStr">
        <is>
          <t>Pass</t>
        </is>
      </c>
      <c r="N74" s="11" t="inlineStr"/>
      <c r="O74" s="11" t="inlineStr"/>
      <c r="P74" s="11" t="inlineStr"/>
    </row>
    <row r="75">
      <c r="A75" s="10" t="n">
        <v>74</v>
      </c>
      <c r="B75" s="10" t="inlineStr">
        <is>
          <t>TC-INC-FE-06</t>
        </is>
      </c>
      <c r="C75" s="10" t="inlineStr">
        <is>
          <t>04 Quản lý sự cố</t>
        </is>
      </c>
      <c r="D75" s="10" t="inlineStr">
        <is>
          <t>Frontend — Frontend Test Cases (UI Components, Filters &amp; Dialogs)</t>
        </is>
      </c>
      <c r="E75" s="10" t="inlineStr">
        <is>
          <t>Kết hợp lọc nhiều tiêu chí (AND logic)</t>
        </is>
      </c>
      <c r="F75" s="10" t="inlineStr">
        <is>
          <t>Danh sách sự cố đang hiển thị</t>
        </is>
      </c>
      <c r="G75" s="10" t="inlineStr">
        <is>
          <t>Chọn lọc trạng thái = `OPEN`, chọn Node = `prod-db-master` và nhập ô tìm kiếm</t>
        </is>
      </c>
      <c r="H75" s="10" t="inlineStr">
        <is>
          <t>Tìm kiếm: `Disk`</t>
        </is>
      </c>
      <c r="I75" s="10" t="inlineStr">
        <is>
          <t>- Bảng hiển thị chính xác các sự cố thỏa mãn đồng thời cả 3 điều kiện lọc (Status=OPEN AND Node=prod-db-master AND Description chứa "Disk").</t>
        </is>
      </c>
      <c r="J75" s="10" t="inlineStr">
        <is>
          <t>Functional / UI</t>
        </is>
      </c>
      <c r="K75" s="10" t="inlineStr"/>
      <c r="L75" s="10" t="inlineStr"/>
      <c r="M75" s="11" t="inlineStr">
        <is>
          <t>Pass</t>
        </is>
      </c>
      <c r="N75" s="11" t="inlineStr"/>
      <c r="O75" s="11" t="inlineStr"/>
      <c r="P75" s="11" t="inlineStr"/>
    </row>
    <row r="76">
      <c r="A76" s="10" t="n">
        <v>75</v>
      </c>
      <c r="B76" s="10" t="inlineStr">
        <is>
          <t>TC-INC-FE-07</t>
        </is>
      </c>
      <c r="C76" s="10" t="inlineStr">
        <is>
          <t>04 Quản lý sự cố</t>
        </is>
      </c>
      <c r="D76" s="10" t="inlineStr">
        <is>
          <t>Frontend — Frontend Test Cases (UI Components, Filters &amp; Dialogs)</t>
        </is>
      </c>
      <c r="E76" s="10" t="inlineStr">
        <is>
          <t>Mở Dialog Resolve Incident</t>
        </is>
      </c>
      <c r="F76" s="10" t="inlineStr">
        <is>
          <t>Người dùng đăng nhập quyền ADMIN</t>
        </is>
      </c>
      <c r="G76" s="10" t="inlineStr">
        <is>
          <t>Click nút "Resolve" trên hàng sự cố có trạng thái `OPEN`</t>
        </is>
      </c>
      <c r="H76" s="10" t="inlineStr">
        <is>
          <t>Sự cố #101</t>
        </is>
      </c>
      <c r="I76" s="10" t="inlineStr">
        <is>
          <t>- Modal "Giải quyết sự cố #101" hiển thị.
- Hiển thị đúng thông tin: Node, Loại sự cố, Mô tả.
- Có ô Textarea để nhập hành động xử lý (không bắt buộc).</t>
        </is>
      </c>
      <c r="J76" s="10" t="inlineStr">
        <is>
          <t>Functional / UI</t>
        </is>
      </c>
      <c r="K76" s="10" t="inlineStr"/>
      <c r="L76" s="10" t="inlineStr"/>
      <c r="M76" s="11" t="inlineStr">
        <is>
          <t>Pass</t>
        </is>
      </c>
      <c r="N76" s="11" t="inlineStr"/>
      <c r="O76" s="11" t="inlineStr"/>
      <c r="P76" s="11" t="inlineStr"/>
    </row>
    <row r="77">
      <c r="A77" s="10" t="n">
        <v>76</v>
      </c>
      <c r="B77" s="10" t="inlineStr">
        <is>
          <t>TC-INC-FE-08</t>
        </is>
      </c>
      <c r="C77" s="10" t="inlineStr">
        <is>
          <t>04 Quản lý sự cố</t>
        </is>
      </c>
      <c r="D77" s="10" t="inlineStr">
        <is>
          <t>Frontend — Frontend Test Cases (UI Components, Filters &amp; Dialogs)</t>
        </is>
      </c>
      <c r="E77" s="10" t="inlineStr">
        <is>
          <t>Xác nhận giải quyết sự cố thành công (Mock Phase)</t>
        </is>
      </c>
      <c r="F77" s="10" t="inlineStr">
        <is>
          <t>Dialog Resolve đang hiển thị</t>
        </is>
      </c>
      <c r="G77" s="10" t="inlineStr">
        <is>
          <t>Nhập ghi chú xử lý và nhấn [Xác nhận Giải quyết]</t>
        </is>
      </c>
      <c r="H77" s="10" t="inlineStr">
        <is>
          <t>Ghi chú: `Đã dọn dẹp ổ đĩa`</t>
        </is>
      </c>
      <c r="I77" s="10" t="inlineStr">
        <is>
          <t>- Dialog đóng lại.
- Trạng thái sự cố đổi thành `RESOLVED` (màu xanh lá).
- Trường Người xử lý hiển thị tên của Admin đăng nhập.
- Hiển thị Toast thông báo thành công: "Sự cố đã được giải quyết thành công."
- Ghi nhận log trong Audit Logs.</t>
        </is>
      </c>
      <c r="J77" s="10" t="inlineStr">
        <is>
          <t>Functional</t>
        </is>
      </c>
      <c r="K77" s="10" t="inlineStr"/>
      <c r="L77" s="10" t="inlineStr"/>
      <c r="M77" s="11" t="inlineStr">
        <is>
          <t>Pass</t>
        </is>
      </c>
      <c r="N77" s="11" t="inlineStr"/>
      <c r="O77" s="11" t="inlineStr"/>
      <c r="P77" s="11" t="inlineStr"/>
    </row>
    <row r="78">
      <c r="A78" s="10" t="n">
        <v>77</v>
      </c>
      <c r="B78" s="10" t="inlineStr">
        <is>
          <t>TC-INC-FE-09</t>
        </is>
      </c>
      <c r="C78" s="10" t="inlineStr">
        <is>
          <t>04 Quản lý sự cố</t>
        </is>
      </c>
      <c r="D78" s="10" t="inlineStr">
        <is>
          <t>Frontend — Frontend Test Cases (UI Components, Filters &amp; Dialogs)</t>
        </is>
      </c>
      <c r="E78" s="10" t="inlineStr">
        <is>
          <t>Xác nhận sự cố thành công (Mock Phase)</t>
        </is>
      </c>
      <c r="F78" s="10" t="inlineStr">
        <is>
          <t>Người dùng đăng nhập quyền ADMIN</t>
        </is>
      </c>
      <c r="G78" s="10" t="inlineStr">
        <is>
          <t>Click nút "Acknowledge" trên hàng sự cố `OPEN`</t>
        </is>
      </c>
      <c r="H78" s="10" t="inlineStr">
        <is>
          <t>Sự cố #103</t>
        </is>
      </c>
      <c r="I78" s="10" t="inlineStr">
        <is>
          <t>- Dialog xác nhận nhẹ hiện lên hỏi: "Bạn muốn xác nhận đã biết về sự cố này?".
- Nhấn [Xác nhận] -&gt; Dialog đóng, trạng thái chuyển sang `ACKNOWLEDGED`, hiển thị Toast thành công.</t>
        </is>
      </c>
      <c r="J78" s="10" t="inlineStr">
        <is>
          <t>Functional</t>
        </is>
      </c>
      <c r="K78" s="10" t="inlineStr"/>
      <c r="L78" s="10" t="inlineStr"/>
      <c r="M78" s="11" t="inlineStr">
        <is>
          <t>Pass</t>
        </is>
      </c>
      <c r="N78" s="11" t="inlineStr"/>
      <c r="O78" s="11" t="inlineStr"/>
      <c r="P78" s="11" t="inlineStr"/>
    </row>
    <row r="79">
      <c r="A79" s="10" t="n">
        <v>78</v>
      </c>
      <c r="B79" s="10" t="inlineStr">
        <is>
          <t>TC-INC-FE-10</t>
        </is>
      </c>
      <c r="C79" s="10" t="inlineStr">
        <is>
          <t>04 Quản lý sự cố</t>
        </is>
      </c>
      <c r="D79" s="10" t="inlineStr">
        <is>
          <t>Frontend — Frontend Test Cases (UI Components, Filters &amp; Dialogs)</t>
        </is>
      </c>
      <c r="E79" s="10" t="inlineStr">
        <is>
          <t>WebSocket Highlight sự cố mới (Mock Phase)</t>
        </is>
      </c>
      <c r="F79" s="10" t="inlineStr">
        <is>
          <t>Người dùng đang xem danh sách sự cố</t>
        </is>
      </c>
      <c r="G79" s="10" t="inlineStr">
        <is>
          <t>Chờ simulator WebSocket đẩy sự cố mới về (tần suất ngẫu nhiên 7s)</t>
        </is>
      </c>
      <c r="H79" s="10" t="inlineStr">
        <is>
          <t>N/A</t>
        </is>
      </c>
      <c r="I79" s="10" t="inlineStr">
        <is>
          <t>- Sự cố mới tự động được chèn vào đầu bảng danh sách (không cần F5).
- Hàng tương ứng hiển thị màu vàng nhạt nhấp nháy làm nổi bật trong 3 giây, sau đó biến mất hiệu ứng highlight một cách mượt mà.</t>
        </is>
      </c>
      <c r="J79" s="10" t="inlineStr">
        <is>
          <t>UI/UX / Live Data</t>
        </is>
      </c>
      <c r="K79" s="10" t="inlineStr"/>
      <c r="L79" s="10" t="inlineStr"/>
      <c r="M79" s="11" t="inlineStr">
        <is>
          <t>Pass</t>
        </is>
      </c>
      <c r="N79" s="11" t="inlineStr"/>
      <c r="O79" s="11" t="inlineStr"/>
      <c r="P79" s="11" t="inlineStr"/>
    </row>
    <row r="80">
      <c r="A80" s="10" t="n">
        <v>79</v>
      </c>
      <c r="B80" s="10" t="inlineStr">
        <is>
          <t>TC-INC-FE-11</t>
        </is>
      </c>
      <c r="C80" s="10" t="inlineStr">
        <is>
          <t>04 Quản lý sự cố</t>
        </is>
      </c>
      <c r="D80" s="10" t="inlineStr">
        <is>
          <t>Frontend — Frontend Test Cases (UI Components, Filters &amp; Dialogs)</t>
        </is>
      </c>
      <c r="E80" s="10" t="inlineStr">
        <is>
          <t>Quick Resolve từ trang Dashboard</t>
        </is>
      </c>
      <c r="F80" s="10" t="inlineStr">
        <is>
          <t>Người dùng đăng nhập quyền ADMIN đang ở trang `/app/dashboard`</t>
        </is>
      </c>
      <c r="G80" s="10" t="inlineStr">
        <is>
          <t>Click nút "Resolve" nhanh tại bảng top 10 sự cố mới nhất</t>
        </is>
      </c>
      <c r="H80" s="10" t="inlineStr">
        <is>
          <t>N/A</t>
        </is>
      </c>
      <c r="I80" s="10" t="inlineStr">
        <is>
          <t>- Mở trực tiếp Dialog Resolve của sự cố tương ứng.
- Sau khi confirm resolve, trạng thái cập nhật lập tức ở Dashboard, số lượng badge đỏ trên Header giảm đi 1.</t>
        </is>
      </c>
      <c r="J80" s="10" t="inlineStr">
        <is>
          <t>Functional / UI</t>
        </is>
      </c>
      <c r="K80" s="10" t="inlineStr"/>
      <c r="L80" s="10" t="inlineStr"/>
      <c r="M80" s="11" t="inlineStr">
        <is>
          <t>Pass</t>
        </is>
      </c>
      <c r="N80" s="11" t="inlineStr"/>
      <c r="O80" s="11" t="inlineStr"/>
      <c r="P80" s="11" t="inlineStr"/>
    </row>
    <row r="81">
      <c r="A81" s="10" t="n">
        <v>80</v>
      </c>
      <c r="B81" s="10" t="inlineStr">
        <is>
          <t>TC-ALERT-BE-01</t>
        </is>
      </c>
      <c r="C81" s="10" t="inlineStr">
        <is>
          <t>05 Cảnh báo</t>
        </is>
      </c>
      <c r="D81" s="10" t="inlineStr">
        <is>
          <t>Backend — Backend Test Cases (Email SMTP, Webhook Dispatcher &amp; API)</t>
        </is>
      </c>
      <c r="E81" s="10" t="inlineStr">
        <is>
          <t>Gửi Email cảnh báo sự cố khẩn cấp thành công</t>
        </is>
      </c>
      <c r="F81" s="10" t="inlineStr">
        <is>
          <t>Cấu hình SMTP Office 365 hoạt động</t>
        </is>
      </c>
      <c r="G81" s="10" t="inlineStr">
        <is>
          <t>Scheduler phát hiện sự cố `DISK_CRITICAL`</t>
        </is>
      </c>
      <c r="H81" s="10" t="inlineStr">
        <is>
          <t>Node: `prod-web-01`
Usage: `92%`</t>
        </is>
      </c>
      <c r="I81" s="10" t="inlineStr">
        <is>
          <t>- `OutlookAlertService` kết nối tới SMTP port 587 và xác thực thành công qua STARTTLS.
- Email được gửi tới địa chỉ đích cấu hình.
- Tiêu đề dạng: `[Smart Ops Engine] Incident Alert: prod-web-01`.
- Nội dung Email hiển thị HTML có tiêu đề màu đỏ `#d32f2f`, đầy đủ các thông tin Server Name, Error Type và Action Taken.</t>
        </is>
      </c>
      <c r="J81" s="10" t="inlineStr">
        <is>
          <t>Functional / Integration</t>
        </is>
      </c>
      <c r="K81" s="10" t="inlineStr"/>
      <c r="L81" s="10" t="inlineStr"/>
      <c r="M81" s="11" t="inlineStr">
        <is>
          <t>Pass</t>
        </is>
      </c>
      <c r="N81" s="11" t="inlineStr"/>
      <c r="O81" s="11" t="inlineStr"/>
      <c r="P81" s="11" t="inlineStr"/>
    </row>
    <row r="82">
      <c r="A82" s="10" t="n">
        <v>81</v>
      </c>
      <c r="B82" s="10" t="inlineStr">
        <is>
          <t>TC-ALERT-BE-02</t>
        </is>
      </c>
      <c r="C82" s="10" t="inlineStr">
        <is>
          <t>05 Cảnh báo</t>
        </is>
      </c>
      <c r="D82" s="10" t="inlineStr">
        <is>
          <t>Backend — Backend Test Cases (Email SMTP, Webhook Dispatcher &amp; API)</t>
        </is>
      </c>
      <c r="E82" s="10" t="inlineStr">
        <is>
          <t>Bảo mật thông tin cấu hình SMTP</t>
        </is>
      </c>
      <c r="F82" s="10" t="inlineStr">
        <is>
          <t>Hệ thống đang chạy</t>
        </is>
      </c>
      <c r="G82" s="10" t="inlineStr">
        <is>
          <t>Kiểm tra file `application.properties` và môi trường runtime</t>
        </is>
      </c>
      <c r="H82" s="10" t="inlineStr">
        <is>
          <t>N/A</t>
        </is>
      </c>
      <c r="I82" s="10" t="inlineStr">
        <is>
          <t>- Đạt: Mật khẩu SMTP không được ghi cứng (hardcode) dạng plaintext trong file code. Phải nạp từ biến môi trường `MAIL_PASSWORD` khi deploy.</t>
        </is>
      </c>
      <c r="J82" s="10" t="inlineStr">
        <is>
          <t>Security</t>
        </is>
      </c>
      <c r="K82" s="10" t="inlineStr"/>
      <c r="L82" s="10" t="inlineStr"/>
      <c r="M82" s="11" t="inlineStr">
        <is>
          <t>Pass</t>
        </is>
      </c>
      <c r="N82" s="11" t="inlineStr"/>
      <c r="O82" s="11" t="inlineStr"/>
      <c r="P82" s="11" t="inlineStr"/>
    </row>
    <row r="83">
      <c r="A83" s="10" t="n">
        <v>82</v>
      </c>
      <c r="B83" s="10" t="inlineStr">
        <is>
          <t>TC-ALERT-BE-03</t>
        </is>
      </c>
      <c r="C83" s="10" t="inlineStr">
        <is>
          <t>05 Cảnh báo</t>
        </is>
      </c>
      <c r="D83" s="10" t="inlineStr">
        <is>
          <t>Backend — Backend Test Cases (Email SMTP, Webhook Dispatcher &amp; API)</t>
        </is>
      </c>
      <c r="E83" s="10" t="inlineStr">
        <is>
          <t>Gửi Email báo cáo tóm tắt hàng ngày thành công</t>
        </is>
      </c>
      <c r="F83" s="10" t="inlineStr">
        <is>
          <t>Job Daily Report được kích hoạt vào 08:00 AM</t>
        </is>
      </c>
      <c r="G83" s="10" t="inlineStr">
        <is>
          <t>Theo dõi hòm thư nhận cảnh báo</t>
        </is>
      </c>
      <c r="H83" s="10" t="inlineStr">
        <is>
          <t>N/A</t>
        </is>
      </c>
      <c r="I83" s="10" t="inlineStr">
        <is>
          <t>- Email tiêu đề: `[Smart Ops Engine] Daily Health Report Summary`.
- Nội dung hiển thị HTML màu xanh `#1976d2`. Số sự cố chưa xử lý hiển thị màu đỏ nếu &gt; 0 và hiển thị màu xanh lá nếu = 0.</t>
        </is>
      </c>
      <c r="J83" s="10" t="inlineStr">
        <is>
          <t>Functional</t>
        </is>
      </c>
      <c r="K83" s="10" t="inlineStr"/>
      <c r="L83" s="10" t="inlineStr"/>
      <c r="M83" s="11" t="inlineStr">
        <is>
          <t>Pass</t>
        </is>
      </c>
      <c r="N83" s="11" t="inlineStr"/>
      <c r="O83" s="11" t="inlineStr"/>
      <c r="P83" s="11" t="inlineStr"/>
    </row>
    <row r="84">
      <c r="A84" s="10" t="n">
        <v>83</v>
      </c>
      <c r="B84" s="10" t="inlineStr">
        <is>
          <t>TC-ALERT-BE-04</t>
        </is>
      </c>
      <c r="C84" s="10" t="inlineStr">
        <is>
          <t>05 Cảnh báo</t>
        </is>
      </c>
      <c r="D84" s="10" t="inlineStr">
        <is>
          <t>Backend — Backend Test Cases (Email SMTP, Webhook Dispatcher &amp; API)</t>
        </is>
      </c>
      <c r="E84" s="10" t="inlineStr">
        <is>
          <t>API gửi email kiểm tra (Test Email)</t>
        </is>
      </c>
      <c r="F84" s="10" t="inlineStr">
        <is>
          <t>Hệ thống đang chạy</t>
        </is>
      </c>
      <c r="G84" s="10" t="inlineStr">
        <is>
          <t>Gửi request `POST /api/test-email` để test SMTP</t>
        </is>
      </c>
      <c r="H84" s="10" t="inlineStr">
        <is>
          <t>N/A</t>
        </is>
      </c>
      <c r="I84" s="10" t="inlineStr">
        <is>
          <t>- Trả về `HTTP 200 OK`.
- Response body: `{ "status": "SENT", "message": "..." }`.
- Email test được gửi về hòm thư cấu hình thành công.</t>
        </is>
      </c>
      <c r="J84" s="10" t="inlineStr">
        <is>
          <t>Functional</t>
        </is>
      </c>
      <c r="K84" s="10" t="inlineStr"/>
      <c r="L84" s="10" t="inlineStr"/>
      <c r="M84" s="11" t="inlineStr">
        <is>
          <t>Pass</t>
        </is>
      </c>
      <c r="N84" s="11" t="inlineStr"/>
      <c r="O84" s="11" t="inlineStr"/>
      <c r="P84" s="11" t="inlineStr"/>
    </row>
    <row r="85">
      <c r="A85" s="10" t="n">
        <v>84</v>
      </c>
      <c r="B85" s="10" t="inlineStr">
        <is>
          <t>TC-ALERT-BE-05</t>
        </is>
      </c>
      <c r="C85" s="10" t="inlineStr">
        <is>
          <t>05 Cảnh báo</t>
        </is>
      </c>
      <c r="D85" s="10" t="inlineStr">
        <is>
          <t>Backend — Backend Test Cases (Email SMTP, Webhook Dispatcher &amp; API)</t>
        </is>
      </c>
      <c r="E85" s="10" t="inlineStr">
        <is>
          <t>API CRUD danh sách Alert Channels (v2.0)</t>
        </is>
      </c>
      <c r="F85" s="10" t="inlineStr">
        <is>
          <t>Tài khoản Admin đã đăng nhập</t>
        </is>
      </c>
      <c r="G85" s="10" t="inlineStr">
        <is>
          <t>Gửi các request `GET/POST/PUT/DELETE /api/alert-channels`</t>
        </is>
      </c>
      <c r="H85" s="10" t="inlineStr">
        <is>
          <t>JSON channel config</t>
        </is>
      </c>
      <c r="I85" s="10" t="inlineStr">
        <is>
          <t>- Trả về kết quả tương ứng (200, 201, 204).
- Lưu cấu hình kênh gồm: tên, loại (EMAIL/WEBHOOK), config JSON (URL, secret hoặc email), min_severity, trạng thái hoạt động.</t>
        </is>
      </c>
      <c r="J85" s="10" t="inlineStr">
        <is>
          <t>Functional</t>
        </is>
      </c>
      <c r="K85" s="10" t="inlineStr"/>
      <c r="L85" s="10" t="inlineStr"/>
      <c r="M85" s="11" t="inlineStr">
        <is>
          <t>Chưa chạy</t>
        </is>
      </c>
      <c r="N85" s="11" t="inlineStr"/>
      <c r="O85" s="11" t="inlineStr"/>
      <c r="P85" s="11" t="inlineStr"/>
    </row>
    <row r="86">
      <c r="A86" s="10" t="n">
        <v>85</v>
      </c>
      <c r="B86" s="10" t="inlineStr">
        <is>
          <t>TC-ALERT-BE-06</t>
        </is>
      </c>
      <c r="C86" s="10" t="inlineStr">
        <is>
          <t>05 Cảnh báo</t>
        </is>
      </c>
      <c r="D86" s="10" t="inlineStr">
        <is>
          <t>Backend — Backend Test Cases (Email SMTP, Webhook Dispatcher &amp; API)</t>
        </is>
      </c>
      <c r="E86" s="10" t="inlineStr">
        <is>
          <t>Phân phối cảnh báo Webhook theo định dạng chuẩn (v2.0)</t>
        </is>
      </c>
      <c r="F86" s="10" t="inlineStr">
        <is>
          <t>Có kênh Webhook hoạt động, sự cố phát sinh</t>
        </is>
      </c>
      <c r="G86" s="10" t="inlineStr">
        <is>
          <t>Scheduler kích hoạt cảnh báo tới webhook</t>
        </is>
      </c>
      <c r="H86" s="10" t="inlineStr">
        <is>
          <t>Webhook URL test</t>
        </is>
      </c>
      <c r="I86" s="10" t="inlineStr">
        <is>
          <t>- Payload POST gửi đi đúng định dạng JSON chuẩn: gồm `event`, `severity`, `node`, `incident` và `actionUrl`.
- Header chứa chữ ký số `X-SmartOps-Signature` khớp với mã hóa `HMAC-SHA256(payload_body, channel.secret)`.</t>
        </is>
      </c>
      <c r="J86" s="10" t="inlineStr">
        <is>
          <t>Functional / Security</t>
        </is>
      </c>
      <c r="K86" s="10" t="inlineStr"/>
      <c r="L86" s="10" t="inlineStr"/>
      <c r="M86" s="11" t="inlineStr">
        <is>
          <t>Chưa chạy</t>
        </is>
      </c>
      <c r="N86" s="11" t="inlineStr"/>
      <c r="O86" s="11" t="inlineStr"/>
      <c r="P86" s="11" t="inlineStr"/>
    </row>
    <row r="87">
      <c r="A87" s="10" t="n">
        <v>86</v>
      </c>
      <c r="B87" s="10" t="inlineStr">
        <is>
          <t>TC-ALERT-BE-07</t>
        </is>
      </c>
      <c r="C87" s="10" t="inlineStr">
        <is>
          <t>05 Cảnh báo</t>
        </is>
      </c>
      <c r="D87" s="10" t="inlineStr">
        <is>
          <t>Backend — Backend Test Cases (Email SMTP, Webhook Dispatcher &amp; API)</t>
        </is>
      </c>
      <c r="E87" s="10" t="inlineStr">
        <is>
          <t>Cơ chế Retry Webhook khi gặp lỗi mạng (v2.0)</t>
        </is>
      </c>
      <c r="F87" s="10" t="inlineStr">
        <is>
          <t>Webhook URL đích bị lỗi tạm thời (trả về HTTP 503 hoặc timeout)</t>
        </is>
      </c>
      <c r="G87" s="10" t="inlineStr">
        <is>
          <t>Phát sinh sự cố để trigger gửi Webhook</t>
        </is>
      </c>
      <c r="H87" s="10" t="inlineStr">
        <is>
          <t>N/A</t>
        </is>
      </c>
      <c r="I87" s="10" t="inlineStr">
        <is>
          <t>- Hệ thống tự động gửi lại (retry) tối đa 3 lần.
- Khoảng thời gian giãn cách tăng dần theo lũy thừa (Exponential Backoff): 1 giây -&gt; 2 giây -&gt; 4 giây trước khi đánh dấu gửi lỗi hoàn toàn.</t>
        </is>
      </c>
      <c r="J87" s="10" t="inlineStr">
        <is>
          <t>Robustness / Performance</t>
        </is>
      </c>
      <c r="K87" s="10" t="inlineStr"/>
      <c r="L87" s="10" t="inlineStr"/>
      <c r="M87" s="11" t="inlineStr">
        <is>
          <t>Chưa chạy</t>
        </is>
      </c>
      <c r="N87" s="11" t="inlineStr"/>
      <c r="O87" s="11" t="inlineStr"/>
      <c r="P87" s="11" t="inlineStr"/>
    </row>
    <row r="88">
      <c r="A88" s="10" t="n">
        <v>87</v>
      </c>
      <c r="B88" s="10" t="inlineStr">
        <is>
          <t>TC-ALERT-BE-08</t>
        </is>
      </c>
      <c r="C88" s="10" t="inlineStr">
        <is>
          <t>05 Cảnh báo</t>
        </is>
      </c>
      <c r="D88" s="10" t="inlineStr">
        <is>
          <t>Backend — Backend Test Cases (Email SMTP, Webhook Dispatcher &amp; API)</t>
        </is>
      </c>
      <c r="E88" s="10" t="inlineStr">
        <is>
          <t>Lọc cảnh báo theo độ nghiêm trọng tối thiểu (v2.0)</t>
        </is>
      </c>
      <c r="F88" s="10" t="inlineStr">
        <is>
          <t>Kênh Webhook cấu hình `min_severity = CRITICAL`</t>
        </is>
      </c>
      <c r="G88" s="10" t="inlineStr">
        <is>
          <t>Phát sinh sự cố có mức `DISK_WARNING` (MONITORING)</t>
        </is>
      </c>
      <c r="H88" s="10" t="inlineStr">
        <is>
          <t>N/A</t>
        </is>
      </c>
      <c r="I88" s="10" t="inlineStr">
        <is>
          <t>- Hệ thống ghi log nhưng KHÔNG gửi Webhook tới kênh này (do mức WARNING thấp hơn CRITICAL cấu hình).</t>
        </is>
      </c>
      <c r="J88" s="10" t="inlineStr">
        <is>
          <t>Logic / Functional</t>
        </is>
      </c>
      <c r="K88" s="10" t="inlineStr"/>
      <c r="L88" s="10" t="inlineStr"/>
      <c r="M88" s="11" t="inlineStr">
        <is>
          <t>Chưa chạy</t>
        </is>
      </c>
      <c r="N88" s="11" t="inlineStr"/>
      <c r="O88" s="11" t="inlineStr"/>
      <c r="P88" s="11" t="inlineStr"/>
    </row>
    <row r="89">
      <c r="A89" s="10" t="n">
        <v>88</v>
      </c>
      <c r="B89" s="10" t="inlineStr">
        <is>
          <t>TC-ALERT-FE-01</t>
        </is>
      </c>
      <c r="C89" s="10" t="inlineStr">
        <is>
          <t>05 Cảnh báo</t>
        </is>
      </c>
      <c r="D89" s="10" t="inlineStr">
        <is>
          <t>Frontend — Frontend Test Cases (Toast Notifications &amp; Channels UI)</t>
        </is>
      </c>
      <c r="E89" s="10" t="inlineStr">
        <is>
          <t>Cấu hình Toaster hiển thị toàn hệ thống</t>
        </is>
      </c>
      <c r="F89" s="10" t="inlineStr">
        <is>
          <t>Ứng dụng đang chạy</t>
        </is>
      </c>
      <c r="G89" s="10" t="inlineStr">
        <is>
          <t>Xem cấu trúc Toaster trong `App.jsx`</t>
        </is>
      </c>
      <c r="H89" s="10" t="inlineStr">
        <is>
          <t>N/A</t>
        </is>
      </c>
      <c r="I89" s="10" t="inlineStr">
        <is>
          <t>- Toaster nằm ở vị trí góc trên bên phải (`top-right`).
- Màu nền tối `#0f172a`, chữ sáng `#f3f4f6`, viền mờ 8% trắng để hài hòa với Dark Mode.
- Thời gian hiển thị mặc định 3.5 giây.</t>
        </is>
      </c>
      <c r="J89" s="10" t="inlineStr">
        <is>
          <t>UI/UX / Quality</t>
        </is>
      </c>
      <c r="K89" s="10" t="inlineStr"/>
      <c r="L89" s="10" t="inlineStr"/>
      <c r="M89" s="11" t="inlineStr">
        <is>
          <t>Pass</t>
        </is>
      </c>
      <c r="N89" s="11" t="inlineStr"/>
      <c r="O89" s="11" t="inlineStr"/>
      <c r="P89" s="11" t="inlineStr"/>
    </row>
    <row r="90">
      <c r="A90" s="10" t="n">
        <v>89</v>
      </c>
      <c r="B90" s="10" t="inlineStr">
        <is>
          <t>TC-ALERT-FE-02</t>
        </is>
      </c>
      <c r="C90" s="10" t="inlineStr">
        <is>
          <t>05 Cảnh báo</t>
        </is>
      </c>
      <c r="D90" s="10" t="inlineStr">
        <is>
          <t>Frontend — Frontend Test Cases (Toast Notifications &amp; Channels UI)</t>
        </is>
      </c>
      <c r="E90" s="10" t="inlineStr">
        <is>
          <t>Hiển thị Toast Success khi thao tác thành công</t>
        </is>
      </c>
      <c r="F90" s="10" t="inlineStr">
        <is>
          <t>Người dùng thực hiện hành động Thêm Node thành công</t>
        </is>
      </c>
      <c r="G90" s="10" t="inlineStr">
        <is>
          <t>Nhấn "Lưu" thêm Node</t>
        </is>
      </c>
      <c r="H90" s="10" t="inlineStr">
        <is>
          <t>N/A</t>
        </is>
      </c>
      <c r="I90" s="10" t="inlineStr">
        <is>
          <t>- Toast hiển thị màu xanh lá ở góc phải với icon tick.
- Nội dung rõ ràng: "Đã thêm máy chủ [tên_node] thành công."</t>
        </is>
      </c>
      <c r="J90" s="10" t="inlineStr">
        <is>
          <t>Functional / UI</t>
        </is>
      </c>
      <c r="K90" s="10" t="inlineStr"/>
      <c r="L90" s="10" t="inlineStr"/>
      <c r="M90" s="11" t="inlineStr">
        <is>
          <t>Pass</t>
        </is>
      </c>
      <c r="N90" s="11" t="inlineStr"/>
      <c r="O90" s="11" t="inlineStr"/>
      <c r="P90" s="11" t="inlineStr"/>
    </row>
    <row r="91">
      <c r="A91" s="10" t="n">
        <v>90</v>
      </c>
      <c r="B91" s="10" t="inlineStr">
        <is>
          <t>TC-ALERT-FE-03</t>
        </is>
      </c>
      <c r="C91" s="10" t="inlineStr">
        <is>
          <t>05 Cảnh báo</t>
        </is>
      </c>
      <c r="D91" s="10" t="inlineStr">
        <is>
          <t>Frontend — Frontend Test Cases (Toast Notifications &amp; Channels UI)</t>
        </is>
      </c>
      <c r="E91" s="10" t="inlineStr">
        <is>
          <t>Hiển thị Toast Error khi thao tác thất bại</t>
        </is>
      </c>
      <c r="F91" s="10" t="inlineStr">
        <is>
          <t>Người dùng nhập sai mật khẩu đăng nhập</t>
        </is>
      </c>
      <c r="G91" s="10" t="inlineStr">
        <is>
          <t>Nhấn "Đăng nhập"</t>
        </is>
      </c>
      <c r="H91" s="10" t="inlineStr">
        <is>
          <t>N/A</t>
        </is>
      </c>
      <c r="I91" s="10" t="inlineStr">
        <is>
          <t>- Toast hiển thị màu đỏ ở góc phải với icon báo lỗi.
- Nội dung: "Tên đăng nhập hoặc mật khẩu không đúng."</t>
        </is>
      </c>
      <c r="J91" s="10" t="inlineStr">
        <is>
          <t>Functional / UI</t>
        </is>
      </c>
      <c r="K91" s="10" t="inlineStr"/>
      <c r="L91" s="10" t="inlineStr"/>
      <c r="M91" s="11" t="inlineStr">
        <is>
          <t>Pass</t>
        </is>
      </c>
      <c r="N91" s="11" t="inlineStr"/>
      <c r="O91" s="11" t="inlineStr"/>
      <c r="P91" s="11" t="inlineStr"/>
    </row>
    <row r="92">
      <c r="A92" s="10" t="n">
        <v>91</v>
      </c>
      <c r="B92" s="10" t="inlineStr">
        <is>
          <t>TC-ALERT-FE-04</t>
        </is>
      </c>
      <c r="C92" s="10" t="inlineStr">
        <is>
          <t>05 Cảnh báo</t>
        </is>
      </c>
      <c r="D92" s="10" t="inlineStr">
        <is>
          <t>Frontend — Frontend Test Cases (Toast Notifications &amp; Channels UI)</t>
        </is>
      </c>
      <c r="E92" s="10" t="inlineStr">
        <is>
          <t>Hiển thị Toast Loading khi thực hiện quét khẩn cấp</t>
        </is>
      </c>
      <c r="F92" s="10" t="inlineStr">
        <is>
          <t>Người dùng nhấn nút "Kiểm tra ngay"</t>
        </is>
      </c>
      <c r="G92" s="10" t="inlineStr">
        <is>
          <t>Click nút quét khẩn cấp</t>
        </is>
      </c>
      <c r="H92" s="10" t="inlineStr">
        <is>
          <t>N/A</t>
        </is>
      </c>
      <c r="I92" s="10" t="inlineStr">
        <is>
          <t>- Toast loading spinner xuất hiện báo "Đang gửi lệnh quét khẩn cấp...".
- Khi API quét phản hồi, toast tự động biến mất và hiển thị toast success hoặc error thay thế.</t>
        </is>
      </c>
      <c r="J92" s="10" t="inlineStr">
        <is>
          <t>UI/UX</t>
        </is>
      </c>
      <c r="K92" s="10" t="inlineStr"/>
      <c r="L92" s="10" t="inlineStr"/>
      <c r="M92" s="11" t="inlineStr">
        <is>
          <t>Pass</t>
        </is>
      </c>
      <c r="N92" s="11" t="inlineStr"/>
      <c r="O92" s="11" t="inlineStr"/>
      <c r="P92" s="11" t="inlineStr"/>
    </row>
    <row r="93">
      <c r="A93" s="10" t="n">
        <v>92</v>
      </c>
      <c r="B93" s="10" t="inlineStr">
        <is>
          <t>TC-ALERT-FE-05</t>
        </is>
      </c>
      <c r="C93" s="10" t="inlineStr">
        <is>
          <t>05 Cảnh báo</t>
        </is>
      </c>
      <c r="D93" s="10" t="inlineStr">
        <is>
          <t>Frontend — Frontend Test Cases (Toast Notifications &amp; Channels UI)</t>
        </is>
      </c>
      <c r="E93" s="10" t="inlineStr">
        <is>
          <t>Custom Toast khi nhận sự cố mới từ WebSocket</t>
        </is>
      </c>
      <c r="F93" s="10" t="inlineStr">
        <is>
          <t>Người dùng đang làm việc trong hệ thống</t>
        </is>
      </c>
      <c r="G93" s="10" t="inlineStr">
        <is>
          <t>Giả lập WebSocket nhận một sự cố mới</t>
        </is>
      </c>
      <c r="H93" s="10" t="inlineStr">
        <is>
          <t>Node: `prod-db-master`
Type: `DISK_CRITICAL`</t>
        </is>
      </c>
      <c r="I93" s="10" t="inlineStr">
        <is>
          <t>- Toast đặc biệt màu đỏ đậm (`bg-red-950`) hiện lên với hiệu ứng nảy (bounce).
- Tiêu đề đỏ sáng: "PHÁT HIỆN SỰ CỐ MỚI (WebSocket Live)".
- Hiển thị chi tiết Node và lỗi.
- Có nút "Đóng" để chủ động tắt.
- Thời gian tự biến mất kéo dài hơn (5 giây).</t>
        </is>
      </c>
      <c r="J93" s="10" t="inlineStr">
        <is>
          <t>UI/UX / Live Data</t>
        </is>
      </c>
      <c r="K93" s="10" t="inlineStr"/>
      <c r="L93" s="10" t="inlineStr"/>
      <c r="M93" s="11" t="inlineStr">
        <is>
          <t>Pass</t>
        </is>
      </c>
      <c r="N93" s="11" t="inlineStr"/>
      <c r="O93" s="11" t="inlineStr"/>
      <c r="P93" s="11" t="inlineStr"/>
    </row>
    <row r="94">
      <c r="A94" s="10" t="n">
        <v>93</v>
      </c>
      <c r="B94" s="10" t="inlineStr">
        <is>
          <t>TC-ALERT-FE-06</t>
        </is>
      </c>
      <c r="C94" s="10" t="inlineStr">
        <is>
          <t>05 Cảnh báo</t>
        </is>
      </c>
      <c r="D94" s="10" t="inlineStr">
        <is>
          <t>Frontend — Frontend Test Cases (Toast Notifications &amp; Channels UI)</t>
        </is>
      </c>
      <c r="E94" s="10" t="inlineStr">
        <is>
          <t>Hiển thị giao diện quản lý Alert Channels</t>
        </is>
      </c>
      <c r="F94" s="10" t="inlineStr">
        <is>
          <t>Người dùng đăng nhập quyền ADMIN, truy cập `/app/alert-channels`</t>
        </is>
      </c>
      <c r="G94" s="10" t="inlineStr">
        <is>
          <t>Xem danh sách kênh</t>
        </is>
      </c>
      <c r="H94" s="10" t="inlineStr">
        <is>
          <t>N/A</t>
        </is>
      </c>
      <c r="I94" s="10" t="inlineStr">
        <is>
          <t>- Bảng kênh hiển thị: Tên kênh, Loại (badge xanh Email / badge cam Webhook), Target (địa chỉ nhận/URL), Mức tối thiểu (badge Warning/Critical), Switch toggle hoạt động, Action (Sửa, Xóa).</t>
        </is>
      </c>
      <c r="J94" s="10" t="inlineStr">
        <is>
          <t>Functional / UI</t>
        </is>
      </c>
      <c r="K94" s="10" t="inlineStr"/>
      <c r="L94" s="10" t="inlineStr"/>
      <c r="M94" s="11" t="inlineStr">
        <is>
          <t>Pass</t>
        </is>
      </c>
      <c r="N94" s="11" t="inlineStr"/>
      <c r="O94" s="11" t="inlineStr"/>
      <c r="P94" s="11" t="inlineStr"/>
    </row>
    <row r="95">
      <c r="A95" s="10" t="n">
        <v>94</v>
      </c>
      <c r="B95" s="10" t="inlineStr">
        <is>
          <t>TC-ALERT-FE-07</t>
        </is>
      </c>
      <c r="C95" s="10" t="inlineStr">
        <is>
          <t>05 Cảnh báo</t>
        </is>
      </c>
      <c r="D95" s="10" t="inlineStr">
        <is>
          <t>Frontend — Frontend Test Cases (Toast Notifications &amp; Channels UI)</t>
        </is>
      </c>
      <c r="E95" s="10" t="inlineStr">
        <is>
          <t>Thêm kênh cảnh báo mới</t>
        </is>
      </c>
      <c r="F95" s="10" t="inlineStr">
        <is>
          <t>Modal thêm kênh đang hiển thị</t>
        </is>
      </c>
      <c r="G95" s="10" t="inlineStr">
        <is>
          <t>Nhập đầy đủ thông tin tab Webhook và nhấn "Lưu"</t>
        </is>
      </c>
      <c r="H95" s="10" t="inlineStr">
        <is>
          <t>Name: `Slack Dev Team`
URL: `https://hooks.slack.com/...`
Min: `Critical`</t>
        </is>
      </c>
      <c r="I95" s="10" t="inlineStr">
        <is>
          <t>- Kênh mới được thêm vào danh sách.
- Toast success thông báo thêm thành công.
- Dữ liệu được lưu trữ trong danh sách (Mock).</t>
        </is>
      </c>
      <c r="J95" s="10" t="inlineStr">
        <is>
          <t>Functional</t>
        </is>
      </c>
      <c r="K95" s="10" t="inlineStr"/>
      <c r="L95" s="10" t="inlineStr"/>
      <c r="M95" s="11" t="inlineStr">
        <is>
          <t>Pass</t>
        </is>
      </c>
      <c r="N95" s="11" t="inlineStr"/>
      <c r="O95" s="11" t="inlineStr"/>
      <c r="P95" s="11" t="inlineStr"/>
    </row>
    <row r="96">
      <c r="A96" s="10" t="n">
        <v>95</v>
      </c>
      <c r="B96" s="10" t="inlineStr">
        <is>
          <t>TC-ALERT-FE-08</t>
        </is>
      </c>
      <c r="C96" s="10" t="inlineStr">
        <is>
          <t>05 Cảnh báo</t>
        </is>
      </c>
      <c r="D96" s="10" t="inlineStr">
        <is>
          <t>Frontend — Frontend Test Cases (Toast Notifications &amp; Channels UI)</t>
        </is>
      </c>
      <c r="E96" s="10" t="inlineStr">
        <is>
          <t>Chạy thử nghiệm gửi cảnh báo (Test channel)</t>
        </is>
      </c>
      <c r="F96" s="10" t="inlineStr">
        <is>
          <t>Modal Thêm/Sửa kênh đang hiển thị</t>
        </is>
      </c>
      <c r="G96" s="10" t="inlineStr">
        <is>
          <t>Click nút "Test gửi thông báo"</t>
        </is>
      </c>
      <c r="H96" s="10" t="inlineStr">
        <is>
          <t>N/A</t>
        </is>
      </c>
      <c r="I96" s="10" t="inlineStr">
        <is>
          <t>- Nút test hiển thị loading spinner.
- Sau 800ms, hiển thị Toast báo thành công: "Đã gửi thông báo test đến kênh Slack Dev Team."</t>
        </is>
      </c>
      <c r="J96" s="10" t="inlineStr">
        <is>
          <t>Functional / UI</t>
        </is>
      </c>
      <c r="K96" s="10" t="inlineStr"/>
      <c r="L96" s="10" t="inlineStr"/>
      <c r="M96" s="11" t="inlineStr">
        <is>
          <t>Pass</t>
        </is>
      </c>
      <c r="N96" s="11" t="inlineStr"/>
      <c r="O96" s="11" t="inlineStr"/>
      <c r="P96" s="11" t="inlineStr"/>
    </row>
    <row r="97">
      <c r="A97" s="10" t="n">
        <v>96</v>
      </c>
      <c r="B97" s="10" t="inlineStr">
        <is>
          <t>TC-ALERT-FE-09</t>
        </is>
      </c>
      <c r="C97" s="10" t="inlineStr">
        <is>
          <t>05 Cảnh báo</t>
        </is>
      </c>
      <c r="D97" s="10" t="inlineStr">
        <is>
          <t>Frontend — Frontend Test Cases (Toast Notifications &amp; Channels UI)</t>
        </is>
      </c>
      <c r="E97" s="10" t="inlineStr">
        <is>
          <t>Badge hiển thị số lượng sự cố chưa xử lý trên Header</t>
        </is>
      </c>
      <c r="F97" s="10" t="inlineStr">
        <is>
          <t>Hệ thống có 3 sự cố đang ở trạng thái `OPEN`</t>
        </is>
      </c>
      <c r="G97" s="10" t="inlineStr">
        <is>
          <t>Xem góc phải Header chính</t>
        </is>
      </c>
      <c r="H97" s="10" t="inlineStr">
        <is>
          <t>N/A</t>
        </is>
      </c>
      <c r="I97" s="10" t="inlineStr">
        <is>
          <t>- Header hiển thị badge màu đỏ có số `3` cạnh biểu tượng chuông cảnh báo.
- Nhấn vào chuông cảnh báo -&gt; tự động chuyển hướng người dùng tới trang `/app/incidents` đồng thời áp dụng sẵn bộ lọc trạng thái `OPEN`.</t>
        </is>
      </c>
      <c r="J97" s="10" t="inlineStr">
        <is>
          <t>Functional / UI</t>
        </is>
      </c>
      <c r="K97" s="10" t="inlineStr"/>
      <c r="L97" s="10" t="inlineStr"/>
      <c r="M97" s="11" t="inlineStr">
        <is>
          <t>Pass</t>
        </is>
      </c>
      <c r="N97" s="11" t="inlineStr"/>
      <c r="O97" s="11" t="inlineStr"/>
      <c r="P97" s="11" t="inlineStr"/>
    </row>
    <row r="98">
      <c r="A98" s="10" t="n">
        <v>97</v>
      </c>
      <c r="B98" s="10" t="inlineStr">
        <is>
          <t>TC-WS-BE-01</t>
        </is>
      </c>
      <c r="C98" s="10" t="inlineStr">
        <is>
          <t>06 WebSocket realtime</t>
        </is>
      </c>
      <c r="D98" s="10" t="inlineStr">
        <is>
          <t>Backend — Backend Test Cases (STOMP Broker, Message Push &amp; Connection Security)</t>
        </is>
      </c>
      <c r="E98" s="10" t="inlineStr">
        <is>
          <t>Khởi tạo kết nối STOMP thành công</t>
        </is>
      </c>
      <c r="F98" s="10" t="inlineStr">
        <is>
          <t>Server đang chạy</t>
        </is>
      </c>
      <c r="G98" s="10" t="inlineStr">
        <is>
          <t>Trình duyệt thực hiện kết nối WebSocket tới endpoint `/ws`</t>
        </is>
      </c>
      <c r="H98" s="10" t="inlineStr">
        <is>
          <t>Endpoint: `ws://localhost:8080/ws`</t>
        </is>
      </c>
      <c r="I98" s="10" t="inlineStr">
        <is>
          <t>- Handshake thành công.
- Trả về mã kết nối 101 Switching Protocols.
- Kết nối được duy trì ổn định.</t>
        </is>
      </c>
      <c r="J98" s="10" t="inlineStr">
        <is>
          <t>Functional / Integration</t>
        </is>
      </c>
      <c r="K98" s="10" t="inlineStr"/>
      <c r="L98" s="10" t="inlineStr"/>
      <c r="M98" s="11" t="inlineStr">
        <is>
          <t>Chưa chạy</t>
        </is>
      </c>
      <c r="N98" s="11" t="inlineStr"/>
      <c r="O98" s="11" t="inlineStr"/>
      <c r="P98" s="11" t="inlineStr"/>
    </row>
    <row r="99">
      <c r="A99" s="10" t="n">
        <v>98</v>
      </c>
      <c r="B99" s="10" t="inlineStr">
        <is>
          <t>TC-WS-BE-02</t>
        </is>
      </c>
      <c r="C99" s="10" t="inlineStr">
        <is>
          <t>06 WebSocket realtime</t>
        </is>
      </c>
      <c r="D99" s="10" t="inlineStr">
        <is>
          <t>Backend — Backend Test Cases (STOMP Broker, Message Push &amp; Connection Security)</t>
        </is>
      </c>
      <c r="E99" s="10" t="inlineStr">
        <is>
          <t>SockJS Fallback hoạt động khi WebSocket bị chặn</t>
        </is>
      </c>
      <c r="F99" s="10" t="inlineStr">
        <is>
          <t>Trình duyệt không hỗ trợ WebSocket hoặc bị chặn bởi Proxy/Firewall</t>
        </is>
      </c>
      <c r="G99" s="10" t="inlineStr">
        <is>
          <t>Gửi kết nối STOMP sử dụng thư viện SockJS</t>
        </is>
      </c>
      <c r="H99" s="10" t="inlineStr">
        <is>
          <t>N/A</t>
        </is>
      </c>
      <c r="I99" s="10" t="inlineStr">
        <is>
          <t>- Hệ thống tự động chuyển sang cơ chế HTTP Long-polling để duy trì kênh truyền thông tin.
- Dữ liệu STOMP vẫn được truyền nhận bình thường.</t>
        </is>
      </c>
      <c r="J99" s="10" t="inlineStr">
        <is>
          <t>Robustness / Compatibility</t>
        </is>
      </c>
      <c r="K99" s="10" t="inlineStr"/>
      <c r="L99" s="10" t="inlineStr"/>
      <c r="M99" s="11" t="inlineStr">
        <is>
          <t>Chưa chạy</t>
        </is>
      </c>
      <c r="N99" s="11" t="inlineStr"/>
      <c r="O99" s="11" t="inlineStr"/>
      <c r="P99" s="11" t="inlineStr"/>
    </row>
    <row r="100">
      <c r="A100" s="10" t="n">
        <v>99</v>
      </c>
      <c r="B100" s="10" t="inlineStr">
        <is>
          <t>TC-WS-BE-03</t>
        </is>
      </c>
      <c r="C100" s="10" t="inlineStr">
        <is>
          <t>06 WebSocket realtime</t>
        </is>
      </c>
      <c r="D100" s="10" t="inlineStr">
        <is>
          <t>Backend — Backend Test Cases (STOMP Broker, Message Push &amp; Connection Security)</t>
        </is>
      </c>
      <c r="E100" s="10" t="inlineStr">
        <is>
          <t>Xác thực JWT trong quá trình Handshake WebSocket</t>
        </is>
      </c>
      <c r="F100" s="10" t="inlineStr">
        <is>
          <t>Cấu hình bảo mật WebSocket đã kích hoạt</t>
        </is>
      </c>
      <c r="G100" s="10" t="inlineStr">
        <is>
          <t>1. Kết nối với token hợp lệ.
2. Kết nối với token sai/hết hạn.</t>
        </is>
      </c>
      <c r="H100" s="10" t="inlineStr">
        <is>
          <t>Token: `Bearer eyJhbGci...`</t>
        </is>
      </c>
      <c r="I100" s="10" t="inlineStr">
        <is>
          <t>- Token hợp lệ: Handshake thành công. Lưu thông tin user đăng nhập vào thuộc tính phiên WebSocket.
- Token sai: Trả về lỗi 403 Forbidden và từ chối handshake.</t>
        </is>
      </c>
      <c r="J100" s="10" t="inlineStr">
        <is>
          <t>Security</t>
        </is>
      </c>
      <c r="K100" s="10" t="inlineStr"/>
      <c r="L100" s="10" t="inlineStr"/>
      <c r="M100" s="11" t="inlineStr">
        <is>
          <t>Chưa chạy</t>
        </is>
      </c>
      <c r="N100" s="11" t="inlineStr"/>
      <c r="O100" s="11" t="inlineStr"/>
      <c r="P100" s="11" t="inlineStr"/>
    </row>
    <row r="101">
      <c r="A101" s="10" t="n">
        <v>100</v>
      </c>
      <c r="B101" s="10" t="inlineStr">
        <is>
          <t>TC-WS-BE-04</t>
        </is>
      </c>
      <c r="C101" s="10" t="inlineStr">
        <is>
          <t>06 WebSocket realtime</t>
        </is>
      </c>
      <c r="D101" s="10" t="inlineStr">
        <is>
          <t>Backend — Backend Test Cases (STOMP Broker, Message Push &amp; Connection Security)</t>
        </is>
      </c>
      <c r="E101" s="10" t="inlineStr">
        <is>
          <t>Đẩy sự kiện khi có Incident mới (INCIDENT_CREATED)</t>
        </is>
      </c>
      <c r="F101" s="10" t="inlineStr">
        <is>
          <t>User đã subscribe topic `/topic/incidents`</t>
        </is>
      </c>
      <c r="G101" s="10" t="inlineStr">
        <is>
          <t>Scheduler tạo mới 1 sự cố trong DB</t>
        </is>
      </c>
      <c r="H101" s="10" t="inlineStr">
        <is>
          <t>Incident ID: `15`
Node: `prod-db-master`</t>
        </is>
      </c>
      <c r="I101" s="10" t="inlineStr">
        <is>
          <t>- `IncidentEventPublisher` đẩy JSON event tới topic `/topic/incidents`.
- Nội dung JSON chứa đầy đủ thông tin: `eventType: "INCIDENT_CREATED"`, ID sự cố, ID Node, loại sự cố, mô tả lỗi và thời gian phát hiện.</t>
        </is>
      </c>
      <c r="J101" s="10" t="inlineStr">
        <is>
          <t>Functional / Live Data</t>
        </is>
      </c>
      <c r="K101" s="10" t="inlineStr"/>
      <c r="L101" s="10" t="inlineStr"/>
      <c r="M101" s="11" t="inlineStr">
        <is>
          <t>Chưa chạy</t>
        </is>
      </c>
      <c r="N101" s="11" t="inlineStr"/>
      <c r="O101" s="11" t="inlineStr"/>
      <c r="P101" s="11" t="inlineStr"/>
    </row>
    <row r="102">
      <c r="A102" s="10" t="n">
        <v>101</v>
      </c>
      <c r="B102" s="10" t="inlineStr">
        <is>
          <t>TC-WS-BE-05</t>
        </is>
      </c>
      <c r="C102" s="10" t="inlineStr">
        <is>
          <t>06 WebSocket realtime</t>
        </is>
      </c>
      <c r="D102" s="10" t="inlineStr">
        <is>
          <t>Backend — Backend Test Cases (STOMP Broker, Message Push &amp; Connection Security)</t>
        </is>
      </c>
      <c r="E102" s="10" t="inlineStr">
        <is>
          <t>Đẩy sự kiện khi Incident được giải quyết (INCIDENT_RESOLVED)</t>
        </is>
      </c>
      <c r="F102" s="10" t="inlineStr">
        <is>
          <t>User đã subscribe topic `/topic/incidents`</t>
        </is>
      </c>
      <c r="G102" s="10" t="inlineStr">
        <is>
          <t>Admin nhấn Resolve sự cố trên hệ thống</t>
        </is>
      </c>
      <c r="H102" s="10" t="inlineStr">
        <is>
          <t>Incident ID: `15`</t>
        </is>
      </c>
      <c r="I102" s="10" t="inlineStr">
        <is>
          <t>- Hệ thống đẩy JSON event có `eventType: "INCIDENT_RESOLVED"`.
- Response chứa: ID sự cố, ID Node và trạng thái mới `RESOLVED`.</t>
        </is>
      </c>
      <c r="J102" s="10" t="inlineStr">
        <is>
          <t>Functional / Live Data</t>
        </is>
      </c>
      <c r="K102" s="10" t="inlineStr"/>
      <c r="L102" s="10" t="inlineStr"/>
      <c r="M102" s="11" t="inlineStr">
        <is>
          <t>Chưa chạy</t>
        </is>
      </c>
      <c r="N102" s="11" t="inlineStr"/>
      <c r="O102" s="11" t="inlineStr"/>
      <c r="P102" s="11" t="inlineStr"/>
    </row>
    <row r="103">
      <c r="A103" s="10" t="n">
        <v>102</v>
      </c>
      <c r="B103" s="10" t="inlineStr">
        <is>
          <t>TC-WS-FE-01</t>
        </is>
      </c>
      <c r="C103" s="10" t="inlineStr">
        <is>
          <t>06 WebSocket realtime</t>
        </is>
      </c>
      <c r="D103" s="10" t="inlineStr">
        <is>
          <t>Frontend — Frontend Test Cases (Mock Simulator, Live Indicators &amp; Reconnect)</t>
        </is>
      </c>
      <c r="E103" s="10" t="inlineStr">
        <is>
          <t>Simulator chạy ngẫu nhiên các chỉ số (Mock Phase)</t>
        </is>
      </c>
      <c r="F103" s="10" t="inlineStr">
        <is>
          <t>Người dùng đăng nhập thành công</t>
        </is>
      </c>
      <c r="G103" s="10" t="inlineStr">
        <is>
          <t>Theo dõi các progress bar CPU/Disk/RAM tại trang Nodes</t>
        </is>
      </c>
      <c r="H103" s="10" t="inlineStr">
        <is>
          <t>N/A</t>
        </is>
      </c>
      <c r="I103" s="10" t="inlineStr">
        <is>
          <t>- Cứ mỗi 7 giây, các chỉ số của tất cả Node active tự động tăng giảm nhẹ trong khoảng `±5%` (dao động ngẫu nhiên).
- Chỉ cập nhật các chỉ số được chọn giám sát (CPU, Disk, RAM). Các Node inactive giữ nguyên 0%.</t>
        </is>
      </c>
      <c r="J103" s="10" t="inlineStr">
        <is>
          <t>Functional / Simulator</t>
        </is>
      </c>
      <c r="K103" s="10" t="inlineStr"/>
      <c r="L103" s="10" t="inlineStr"/>
      <c r="M103" s="11" t="inlineStr">
        <is>
          <t>Pass</t>
        </is>
      </c>
      <c r="N103" s="11" t="inlineStr"/>
      <c r="O103" s="11" t="inlineStr"/>
      <c r="P103" s="11" t="inlineStr"/>
    </row>
    <row r="104">
      <c r="A104" s="10" t="n">
        <v>103</v>
      </c>
      <c r="B104" s="10" t="inlineStr">
        <is>
          <t>TC-WS-FE-02</t>
        </is>
      </c>
      <c r="C104" s="10" t="inlineStr">
        <is>
          <t>06 WebSocket realtime</t>
        </is>
      </c>
      <c r="D104" s="10" t="inlineStr">
        <is>
          <t>Frontend — Frontend Test Cases (Mock Simulator, Live Indicators &amp; Reconnect)</t>
        </is>
      </c>
      <c r="E104" s="10" t="inlineStr">
        <is>
          <t>Simulator tạo sự cố ngẫu nhiên (Mock Phase)</t>
        </is>
      </c>
      <c r="F104" s="10" t="inlineStr">
        <is>
          <t>Người dùng đăng nhập thành công</t>
        </is>
      </c>
      <c r="G104" s="10" t="inlineStr">
        <is>
          <t>Theo dõi màn hình trong vài phút</t>
        </is>
      </c>
      <c r="H104" s="10" t="inlineStr">
        <is>
          <t>Tỷ lệ xác suất: `8%`</t>
        </is>
      </c>
      <c r="I104" s="10" t="inlineStr">
        <is>
          <t>- Ngẫu nhiên có sự cố được sinh ra.
- Toast đỏ hiện lên, bảng Incidents cập nhật sự cố mới ở đầu hàng, badge cảnh báo trên Header tăng lên.
- Nếu trùng lặp sự cố đang OPEN, hệ thống tăng số lần tái phát (`count + 1`) thay vì insert hàng mới.</t>
        </is>
      </c>
      <c r="J104" s="10" t="inlineStr">
        <is>
          <t>Functional / Simulator</t>
        </is>
      </c>
      <c r="K104" s="10" t="inlineStr"/>
      <c r="L104" s="10" t="inlineStr"/>
      <c r="M104" s="11" t="inlineStr">
        <is>
          <t>Pass</t>
        </is>
      </c>
      <c r="N104" s="11" t="inlineStr"/>
      <c r="O104" s="11" t="inlineStr"/>
      <c r="P104" s="11" t="inlineStr"/>
    </row>
    <row r="105">
      <c r="A105" s="10" t="n">
        <v>104</v>
      </c>
      <c r="B105" s="10" t="inlineStr">
        <is>
          <t>TC-WS-FE-03</t>
        </is>
      </c>
      <c r="C105" s="10" t="inlineStr">
        <is>
          <t>06 WebSocket realtime</t>
        </is>
      </c>
      <c r="D105" s="10" t="inlineStr">
        <is>
          <t>Frontend — Frontend Test Cases (Mock Simulator, Live Indicators &amp; Reconnect)</t>
        </is>
      </c>
      <c r="E105" s="10" t="inlineStr">
        <is>
          <t>Trạng thái chỉ báo kết nối WebSocket (Live Indicator)</t>
        </is>
      </c>
      <c r="F105" s="10" t="inlineStr">
        <is>
          <t>Trang chính đang hiển thị</t>
        </is>
      </c>
      <c r="G105" s="10" t="inlineStr">
        <is>
          <t>Xem góc phải trên Header</t>
        </is>
      </c>
      <c r="H105" s="10" t="inlineStr">
        <is>
          <t>N/A</t>
        </is>
      </c>
      <c r="I105" s="10" t="inlineStr">
        <is>
          <t>- Giao diện hiển thị badge màu xanh lá ghi chữ "Live" (trạng thái đang kết nối WebSocket).
- Đăng xuất tài khoản -&gt; Badge ẩn hoặc chuyển sang màu đỏ.</t>
        </is>
      </c>
      <c r="J105" s="10" t="inlineStr">
        <is>
          <t>UI/UX</t>
        </is>
      </c>
      <c r="K105" s="10" t="inlineStr"/>
      <c r="L105" s="10" t="inlineStr"/>
      <c r="M105" s="11" t="inlineStr">
        <is>
          <t>Pass</t>
        </is>
      </c>
      <c r="N105" s="11" t="inlineStr"/>
      <c r="O105" s="11" t="inlineStr"/>
      <c r="P105" s="11" t="inlineStr"/>
    </row>
    <row r="106">
      <c r="A106" s="10" t="n">
        <v>105</v>
      </c>
      <c r="B106" s="10" t="inlineStr">
        <is>
          <t>TC-WS-FE-04</t>
        </is>
      </c>
      <c r="C106" s="10" t="inlineStr">
        <is>
          <t>06 WebSocket realtime</t>
        </is>
      </c>
      <c r="D106" s="10" t="inlineStr">
        <is>
          <t>Frontend — Frontend Test Cases (Mock Simulator, Live Indicators &amp; Reconnect)</t>
        </is>
      </c>
      <c r="E106" s="10" t="inlineStr">
        <is>
          <t>Tự động kết nối lại khi mất kết nối (Auto Reconnect)</t>
        </is>
      </c>
      <c r="F106" s="10" t="inlineStr">
        <is>
          <t>Người dùng đang làm việc trong hệ thống</t>
        </is>
      </c>
      <c r="G106" s="10" t="inlineStr">
        <is>
          <t>Giả lập mất kết nối mạng hoặc ngắt dịch vụ Backend</t>
        </is>
      </c>
      <c r="H106" s="10" t="inlineStr">
        <is>
          <t>N/A</t>
        </is>
      </c>
      <c r="I106" s="10" t="inlineStr">
        <is>
          <t>- Chỉ báo trên Header đổi sang màu đỏ "Offline", hiển thị tooltip: "Đang thử kết nối lại...".
- Thư viện `@stomp/stompjs` tự động gửi request kết nối lại định kỳ mỗi 5 giây (`reconnectDelay: 5000`).</t>
        </is>
      </c>
      <c r="J106" s="10" t="inlineStr">
        <is>
          <t>Robustness / UX</t>
        </is>
      </c>
      <c r="K106" s="10" t="inlineStr"/>
      <c r="L106" s="10" t="inlineStr"/>
      <c r="M106" s="11" t="inlineStr">
        <is>
          <t>Chưa chạy</t>
        </is>
      </c>
      <c r="N106" s="11" t="inlineStr"/>
      <c r="O106" s="11" t="inlineStr"/>
      <c r="P106" s="11" t="inlineStr"/>
    </row>
    <row r="107">
      <c r="A107" s="10" t="n">
        <v>106</v>
      </c>
      <c r="B107" s="10" t="inlineStr">
        <is>
          <t>TC-WS-FE-05</t>
        </is>
      </c>
      <c r="C107" s="10" t="inlineStr">
        <is>
          <t>06 WebSocket realtime</t>
        </is>
      </c>
      <c r="D107" s="10" t="inlineStr">
        <is>
          <t>Frontend — Frontend Test Cases (Mock Simulator, Live Indicators &amp; Reconnect)</t>
        </is>
      </c>
      <c r="E107" s="10" t="inlineStr">
        <is>
          <t>Polling dự phòng khi WebSocket bị mất hoàn toàn (v2.0)</t>
        </is>
      </c>
      <c r="F107" s="10" t="inlineStr">
        <is>
          <t>Hệ thống đang hiển thị chỉ báo "Offline" kéo dài</t>
        </is>
      </c>
      <c r="G107" s="10" t="inlineStr">
        <is>
          <t>Theo dõi Tab Network trong DevTools</t>
        </is>
      </c>
      <c r="H107" s="10" t="inlineStr">
        <is>
          <t>N/A</t>
        </is>
      </c>
      <c r="I107" s="10" t="inlineStr">
        <is>
          <t>- Đạt: Cứ mỗi 5 phút, Frontend tự động gửi request `GET /api/incidents?page=0&amp;size=20` để cập nhật dữ liệu mới nhất từ Server (chế độ dự phòng khi không có WebSocket).</t>
        </is>
      </c>
      <c r="J107" s="10" t="inlineStr">
        <is>
          <t>Robustness / Performance</t>
        </is>
      </c>
      <c r="K107" s="10" t="inlineStr"/>
      <c r="L107" s="10" t="inlineStr"/>
      <c r="M107" s="11" t="inlineStr">
        <is>
          <t>Chưa chạy</t>
        </is>
      </c>
      <c r="N107" s="11" t="inlineStr"/>
      <c r="O107" s="11" t="inlineStr"/>
      <c r="P107" s="11" t="inlineStr"/>
    </row>
    <row r="108">
      <c r="A108" s="10" t="n">
        <v>107</v>
      </c>
      <c r="B108" s="10" t="inlineStr">
        <is>
          <t>TC-WS-FE-06</t>
        </is>
      </c>
      <c r="C108" s="10" t="inlineStr">
        <is>
          <t>06 WebSocket realtime</t>
        </is>
      </c>
      <c r="D108" s="10" t="inlineStr">
        <is>
          <t>Frontend — Frontend Test Cases (Mock Simulator, Live Indicators &amp; Reconnect)</t>
        </is>
      </c>
      <c r="E108" s="10" t="inlineStr">
        <is>
          <t>Hiệu ứng UI khi nhận WebSocket Event tạo sự cố</t>
        </is>
      </c>
      <c r="F108" s="10" t="inlineStr">
        <is>
          <t>Trang Incidents đang hiển thị</t>
        </is>
      </c>
      <c r="G108" s="10" t="inlineStr">
        <is>
          <t>Simulator/Backend đẩy sự kiện tạo sự cố mới</t>
        </is>
      </c>
      <c r="H108" s="10" t="inlineStr">
        <is>
          <t>N/A</t>
        </is>
      </c>
      <c r="I108" s="10" t="inlineStr">
        <is>
          <t>- Hàng mới lập tức xuất hiện ở dòng đầu tiên của bảng.
- Dòng này có nền màu vàng nhạt mờ (`bg-yellow-500/10`) để thu hút chú ý.
- Màu nền nhạt dần và tự động biến mất hoàn toàn sau 3 giây.</t>
        </is>
      </c>
      <c r="J108" s="10" t="inlineStr">
        <is>
          <t>UI/UX / Live Data</t>
        </is>
      </c>
      <c r="K108" s="10" t="inlineStr"/>
      <c r="L108" s="10" t="inlineStr"/>
      <c r="M108" s="11" t="inlineStr">
        <is>
          <t>Pass</t>
        </is>
      </c>
      <c r="N108" s="11" t="inlineStr"/>
      <c r="O108" s="11" t="inlineStr"/>
      <c r="P108" s="11" t="inlineStr"/>
    </row>
    <row r="109">
      <c r="A109" s="10" t="n">
        <v>108</v>
      </c>
      <c r="B109" s="10" t="inlineStr">
        <is>
          <t>TC-WS-FE-07</t>
        </is>
      </c>
      <c r="C109" s="10" t="inlineStr">
        <is>
          <t>06 WebSocket realtime</t>
        </is>
      </c>
      <c r="D109" s="10" t="inlineStr">
        <is>
          <t>Frontend — Frontend Test Cases (Mock Simulator, Live Indicators &amp; Reconnect)</t>
        </is>
      </c>
      <c r="E109" s="10" t="inlineStr">
        <is>
          <t>Hiệu ứng UI khi nhận WebSocket Event resolve sự cố</t>
        </is>
      </c>
      <c r="F109" s="10" t="inlineStr">
        <is>
          <t>Trang Incidents đang hiển thị</t>
        </is>
      </c>
      <c r="G109" s="10" t="inlineStr">
        <is>
          <t>Simulator/Backend đẩy sự kiện resolve sự cố</t>
        </is>
      </c>
      <c r="H109" s="10" t="inlineStr">
        <is>
          <t>N/A</t>
        </is>
      </c>
      <c r="I109" s="10" t="inlineStr">
        <is>
          <t>- Hàng sự cố tương ứng đổi badge trạng thái từ `OPEN` sang `RESOLVED` (màu xanh lá) lập tức.
- Số lượng badge đỏ ở Header tự động trừ đi 1.
- Bảng sự cố nhanh ở Dashboard cập nhật trạng thái mới.</t>
        </is>
      </c>
      <c r="J109" s="10" t="inlineStr">
        <is>
          <t>UI/UX / Live Data</t>
        </is>
      </c>
      <c r="K109" s="10" t="inlineStr"/>
      <c r="L109" s="10" t="inlineStr"/>
      <c r="M109" s="11" t="inlineStr">
        <is>
          <t>Pass</t>
        </is>
      </c>
      <c r="N109" s="11" t="inlineStr"/>
      <c r="O109" s="11" t="inlineStr"/>
      <c r="P109" s="11" t="inlineStr"/>
    </row>
    <row r="110">
      <c r="A110" s="10" t="n">
        <v>109</v>
      </c>
      <c r="B110" s="10" t="inlineStr">
        <is>
          <t>TC-AUDIT-BE-01</t>
        </is>
      </c>
      <c r="C110" s="10" t="inlineStr">
        <is>
          <t>07 Audit log</t>
        </is>
      </c>
      <c r="D110" s="10" t="inlineStr">
        <is>
          <t>Backend — Backend Test Cases (AOP Aspect, DB Records &amp; Audit API)</t>
        </is>
      </c>
      <c r="E110" s="10" t="inlineStr">
        <is>
          <t>Tự động ghi log khi thêm Node mới qua Spring AOP</t>
        </is>
      </c>
      <c r="F110" s="10" t="inlineStr">
        <is>
          <t>Tài khoản Admin thực hiện thêm Node</t>
        </is>
      </c>
      <c r="G110" s="10" t="inlineStr">
        <is>
          <t>Gọi API `POST /api/nodes` để thêm mới một Node</t>
        </is>
      </c>
      <c r="H110" s="10" t="inlineStr">
        <is>
          <t>Dữ liệu Node hợp lệ</t>
        </is>
      </c>
      <c r="I110" s="10" t="inlineStr">
        <is>
          <t>- AOP Aspect `AuditAspect` bắt được sự kiện thành công.
- Thêm mới một bản ghi vào bảng `Audit_Logs`. 
- Trường thông tin lưu đúng: `action = "CREATE"`, `entity_type = "NODE"`, `entity_id = id_vừa_tạo`, `old_value = null`, `new_value` chứa chuỗi JSON thông tin Node, `ip_address` lấy đúng IP client.</t>
        </is>
      </c>
      <c r="J110" s="10" t="inlineStr">
        <is>
          <t>Functional / Security</t>
        </is>
      </c>
      <c r="K110" s="10" t="inlineStr"/>
      <c r="L110" s="10" t="inlineStr"/>
      <c r="M110" s="11" t="inlineStr">
        <is>
          <t>Chưa chạy</t>
        </is>
      </c>
      <c r="N110" s="11" t="inlineStr"/>
      <c r="O110" s="11" t="inlineStr"/>
      <c r="P110" s="11" t="inlineStr"/>
    </row>
    <row r="111">
      <c r="A111" s="10" t="n">
        <v>110</v>
      </c>
      <c r="B111" s="10" t="inlineStr">
        <is>
          <t>TC-AUDIT-BE-02</t>
        </is>
      </c>
      <c r="C111" s="10" t="inlineStr">
        <is>
          <t>07 Audit log</t>
        </is>
      </c>
      <c r="D111" s="10" t="inlineStr">
        <is>
          <t>Backend — Backend Test Cases (AOP Aspect, DB Records &amp; Audit API)</t>
        </is>
      </c>
      <c r="E111" s="10" t="inlineStr">
        <is>
          <t>Tự động ghi log khi cập nhật Node</t>
        </is>
      </c>
      <c r="F111" s="10" t="inlineStr">
        <is>
          <t>Admin cập nhật thông tin Node</t>
        </is>
      </c>
      <c r="G111" s="10" t="inlineStr">
        <is>
          <t>Gọi API `PUT /api/nodes/{id}`</t>
        </is>
      </c>
      <c r="H111" s="10" t="inlineStr">
        <is>
          <t>N/A</t>
        </is>
      </c>
      <c r="I111" s="10" t="inlineStr">
        <is>
          <t>- Thêm một bản ghi vào bảng `Audit_Logs`.
- Thông tin: `action = "UPDATE"`. Cột `old_value` lưu chuỗi JSON cũ trước khi sửa. Cột `new_value` lưu chuỗi JSON mới sau khi sửa để đối chiếu.</t>
        </is>
      </c>
      <c r="J111" s="10" t="inlineStr">
        <is>
          <t>Functional / Security</t>
        </is>
      </c>
      <c r="K111" s="10" t="inlineStr"/>
      <c r="L111" s="10" t="inlineStr"/>
      <c r="M111" s="11" t="inlineStr">
        <is>
          <t>Chưa chạy</t>
        </is>
      </c>
      <c r="N111" s="11" t="inlineStr"/>
      <c r="O111" s="11" t="inlineStr"/>
      <c r="P111" s="11" t="inlineStr"/>
    </row>
    <row r="112">
      <c r="A112" s="10" t="n">
        <v>111</v>
      </c>
      <c r="B112" s="10" t="inlineStr">
        <is>
          <t>TC-AUDIT-BE-03</t>
        </is>
      </c>
      <c r="C112" s="10" t="inlineStr">
        <is>
          <t>07 Audit log</t>
        </is>
      </c>
      <c r="D112" s="10" t="inlineStr">
        <is>
          <t>Backend — Backend Test Cases (AOP Aspect, DB Records &amp; Audit API)</t>
        </is>
      </c>
      <c r="E112" s="10" t="inlineStr">
        <is>
          <t>Tự động ghi log khi xóa Node</t>
        </is>
      </c>
      <c r="F112" s="10" t="inlineStr">
        <is>
          <t>Admin xóa Node</t>
        </is>
      </c>
      <c r="G112" s="10" t="inlineStr">
        <is>
          <t>Gọi API `DELETE /api/nodes/{id}`</t>
        </is>
      </c>
      <c r="H112" s="10" t="inlineStr">
        <is>
          <t>N/A</t>
        </is>
      </c>
      <c r="I112" s="10" t="inlineStr">
        <is>
          <t>- Bản ghi audit được tạo: `action = "DELETE"`. Cột `old_value` lưu thông tin Node trước khi bị xóa hoàn toàn khỏi DB. Cột `new_value = null`.</t>
        </is>
      </c>
      <c r="J112" s="10" t="inlineStr">
        <is>
          <t>Functional / Security</t>
        </is>
      </c>
      <c r="K112" s="10" t="inlineStr"/>
      <c r="L112" s="10" t="inlineStr"/>
      <c r="M112" s="11" t="inlineStr">
        <is>
          <t>Chưa chạy</t>
        </is>
      </c>
      <c r="N112" s="11" t="inlineStr"/>
      <c r="O112" s="11" t="inlineStr"/>
      <c r="P112" s="11" t="inlineStr"/>
    </row>
    <row r="113">
      <c r="A113" s="10" t="n">
        <v>112</v>
      </c>
      <c r="B113" s="10" t="inlineStr">
        <is>
          <t>TC-AUDIT-BE-04</t>
        </is>
      </c>
      <c r="C113" s="10" t="inlineStr">
        <is>
          <t>07 Audit log</t>
        </is>
      </c>
      <c r="D113" s="10" t="inlineStr">
        <is>
          <t>Backend — Backend Test Cases (AOP Aspect, DB Records &amp; Audit API)</t>
        </is>
      </c>
      <c r="E113" s="10" t="inlineStr">
        <is>
          <t>Tự động ghi log khi Resolve sự cố</t>
        </is>
      </c>
      <c r="F113" s="10" t="inlineStr">
        <is>
          <t>Admin giải quyết sự cố</t>
        </is>
      </c>
      <c r="G113" s="10" t="inlineStr">
        <is>
          <t>Gọi API `PUT /api/incidents/{id}/resolve`</t>
        </is>
      </c>
      <c r="H113" s="10" t="inlineStr">
        <is>
          <t>N/A</t>
        </is>
      </c>
      <c r="I113" s="10" t="inlineStr">
        <is>
          <t>- Bản ghi audit được tạo: `action = "RESOLVE"`, `entity_type = "INCIDENT"`. `old_value` lưu status OPEN, `new_value` lưu status RESOLVED kèm ghi chú.</t>
        </is>
      </c>
      <c r="J113" s="10" t="inlineStr">
        <is>
          <t>Functional / Security</t>
        </is>
      </c>
      <c r="K113" s="10" t="inlineStr"/>
      <c r="L113" s="10" t="inlineStr"/>
      <c r="M113" s="11" t="inlineStr">
        <is>
          <t>Chưa chạy</t>
        </is>
      </c>
      <c r="N113" s="11" t="inlineStr"/>
      <c r="O113" s="11" t="inlineStr"/>
      <c r="P113" s="11" t="inlineStr"/>
    </row>
    <row r="114">
      <c r="A114" s="10" t="n">
        <v>113</v>
      </c>
      <c r="B114" s="10" t="inlineStr">
        <is>
          <t>TC-AUDIT-BE-05</t>
        </is>
      </c>
      <c r="C114" s="10" t="inlineStr">
        <is>
          <t>07 Audit log</t>
        </is>
      </c>
      <c r="D114" s="10" t="inlineStr">
        <is>
          <t>Backend — Backend Test Cases (AOP Aspect, DB Records &amp; Audit API)</t>
        </is>
      </c>
      <c r="E114" s="10" t="inlineStr">
        <is>
          <t>API lấy danh sách Audit Logs</t>
        </is>
      </c>
      <c r="F114" s="10" t="inlineStr">
        <is>
          <t>Tài khoản Admin đã đăng nhập</t>
        </is>
      </c>
      <c r="G114" s="10" t="inlineStr">
        <is>
          <t>Gửi request `GET /api/audit-logs`</t>
        </is>
      </c>
      <c r="H114" s="10" t="inlineStr">
        <is>
          <t>Header:
`Authorization: Bearer &lt;admin_token&gt;`</t>
        </is>
      </c>
      <c r="I114" s="10" t="inlineStr">
        <is>
          <t>- Trả về `HTTP 200 OK` cùng phân trang danh sách log hoạt động (JSON).</t>
        </is>
      </c>
      <c r="J114" s="10" t="inlineStr">
        <is>
          <t>Functional</t>
        </is>
      </c>
      <c r="K114" s="10" t="inlineStr"/>
      <c r="L114" s="10" t="inlineStr"/>
      <c r="M114" s="11" t="inlineStr">
        <is>
          <t>Chưa chạy</t>
        </is>
      </c>
      <c r="N114" s="11" t="inlineStr"/>
      <c r="O114" s="11" t="inlineStr"/>
      <c r="P114" s="11" t="inlineStr"/>
    </row>
    <row r="115">
      <c r="A115" s="10" t="n">
        <v>114</v>
      </c>
      <c r="B115" s="10" t="inlineStr">
        <is>
          <t>TC-AUDIT-BE-06</t>
        </is>
      </c>
      <c r="C115" s="10" t="inlineStr">
        <is>
          <t>07 Audit log</t>
        </is>
      </c>
      <c r="D115" s="10" t="inlineStr">
        <is>
          <t>Backend — Backend Test Cases (AOP Aspect, DB Records &amp; Audit API)</t>
        </is>
      </c>
      <c r="E115" s="10" t="inlineStr">
        <is>
          <t>Bộ lọc tại API Audit Logs</t>
        </is>
      </c>
      <c r="F115" s="10" t="inlineStr">
        <is>
          <t>Danh sách audit log trong DB đa dạng</t>
        </is>
      </c>
      <c r="G115" s="10" t="inlineStr">
        <is>
          <t>Gửi request `GET /api/audit-logs?action=DELETE&amp;entityType=NODE`</t>
        </is>
      </c>
      <c r="H115" s="10" t="inlineStr">
        <is>
          <t>Query params</t>
        </is>
      </c>
      <c r="I115" s="10" t="inlineStr">
        <is>
          <t>- Trả về danh sách chỉ chứa các hoạt động Xóa Node.</t>
        </is>
      </c>
      <c r="J115" s="10" t="inlineStr">
        <is>
          <t>Functional</t>
        </is>
      </c>
      <c r="K115" s="10" t="inlineStr"/>
      <c r="L115" s="10" t="inlineStr"/>
      <c r="M115" s="11" t="inlineStr">
        <is>
          <t>Chưa chạy</t>
        </is>
      </c>
      <c r="N115" s="11" t="inlineStr"/>
      <c r="O115" s="11" t="inlineStr"/>
      <c r="P115" s="11" t="inlineStr"/>
    </row>
    <row r="116">
      <c r="A116" s="10" t="n">
        <v>115</v>
      </c>
      <c r="B116" s="10" t="inlineStr">
        <is>
          <t>TC-AUDIT-BE-07</t>
        </is>
      </c>
      <c r="C116" s="10" t="inlineStr">
        <is>
          <t>07 Audit log</t>
        </is>
      </c>
      <c r="D116" s="10" t="inlineStr">
        <is>
          <t>Backend — Backend Test Cases (AOP Aspect, DB Records &amp; Audit API)</t>
        </is>
      </c>
      <c r="E116" s="10" t="inlineStr">
        <is>
          <t>Chặn Viewer truy cập API Audit Logs</t>
        </is>
      </c>
      <c r="F116" s="10" t="inlineStr">
        <is>
          <t>Tài khoản Viewer đã đăng nhập</t>
        </is>
      </c>
      <c r="G116" s="10" t="inlineStr">
        <is>
          <t>Gửi request `GET /api/audit-logs`</t>
        </is>
      </c>
      <c r="H116" s="10" t="inlineStr">
        <is>
          <t>Header:
`Authorization: Bearer &lt;viewer_token&gt;`</t>
        </is>
      </c>
      <c r="I116" s="10" t="inlineStr">
        <is>
          <t>- Trả về `HTTP 403 Forbidden`.</t>
        </is>
      </c>
      <c r="J116" s="10" t="inlineStr">
        <is>
          <t>Security</t>
        </is>
      </c>
      <c r="K116" s="10" t="inlineStr"/>
      <c r="L116" s="10" t="inlineStr"/>
      <c r="M116" s="11" t="inlineStr">
        <is>
          <t>Chưa chạy</t>
        </is>
      </c>
      <c r="N116" s="11" t="inlineStr"/>
      <c r="O116" s="11" t="inlineStr"/>
      <c r="P116" s="11" t="inlineStr"/>
    </row>
    <row r="117">
      <c r="A117" s="10" t="n">
        <v>116</v>
      </c>
      <c r="B117" s="10" t="inlineStr">
        <is>
          <t>TC-AUDIT-FE-01</t>
        </is>
      </c>
      <c r="C117" s="10" t="inlineStr">
        <is>
          <t>07 Audit log</t>
        </is>
      </c>
      <c r="D117" s="10" t="inlineStr">
        <is>
          <t>Frontend — Frontend Test Cases (UI Views, JSON Diff Dialog &amp; Filters)</t>
        </is>
      </c>
      <c r="E117" s="10" t="inlineStr">
        <is>
          <t>Hiển thị giao diện Audit Logs</t>
        </is>
      </c>
      <c r="F117" s="10" t="inlineStr">
        <is>
          <t>Admin truy cập `/app/audit-logs`</t>
        </is>
      </c>
      <c r="G117" s="10" t="inlineStr">
        <is>
          <t>Xem giao diện bảng danh sách nhật ký</t>
        </is>
      </c>
      <c r="H117" s="10" t="inlineStr">
        <is>
          <t>N/A</t>
        </is>
      </c>
      <c r="I117" s="10" t="inlineStr">
        <is>
          <t>- Bảng nhật ký hiển thị các cột: Thời gian, Người thực hiện (badge màu), Hành động (badge màu riêng biệt), Đối tượng tác động, ID đối tượng, IP Address.
- Dữ liệu được sắp xếp mới nhất ở đầu hàng. Phân trang hiển thị 20 dòng/trang.</t>
        </is>
      </c>
      <c r="J117" s="10" t="inlineStr">
        <is>
          <t>Functional / UI</t>
        </is>
      </c>
      <c r="K117" s="10" t="inlineStr"/>
      <c r="L117" s="10" t="inlineStr"/>
      <c r="M117" s="11" t="inlineStr">
        <is>
          <t>Pass</t>
        </is>
      </c>
      <c r="N117" s="11" t="inlineStr"/>
      <c r="O117" s="11" t="inlineStr"/>
      <c r="P117" s="11" t="inlineStr"/>
    </row>
    <row r="118">
      <c r="A118" s="10" t="n">
        <v>117</v>
      </c>
      <c r="B118" s="10" t="inlineStr">
        <is>
          <t>TC-AUDIT-FE-02</t>
        </is>
      </c>
      <c r="C118" s="10" t="inlineStr">
        <is>
          <t>07 Audit log</t>
        </is>
      </c>
      <c r="D118" s="10" t="inlineStr">
        <is>
          <t>Frontend — Frontend Test Cases (UI Views, JSON Diff Dialog &amp; Filters)</t>
        </is>
      </c>
      <c r="E118" s="10" t="inlineStr">
        <is>
          <t>Màu sắc Badge hành động</t>
        </is>
      </c>
      <c r="F118" s="10" t="inlineStr">
        <is>
          <t>Bảng nhật ký đang hiển thị</t>
        </is>
      </c>
      <c r="G118" s="10" t="inlineStr">
        <is>
          <t>Xem cột Hành động</t>
        </is>
      </c>
      <c r="H118" s="10" t="inlineStr">
        <is>
          <t>N/A</t>
        </is>
      </c>
      <c r="I118" s="10" t="inlineStr">
        <is>
          <t>- Phân biệt màu sắc trực quan: `CREATE` màu xanh lá, `UPDATE` màu xanh dương, `DELETE` màu đỏ, `RESOLVE` màu tím, `ACKNOWLEDGE` màu vàng, `TOGGLE` màu cam.</t>
        </is>
      </c>
      <c r="J118" s="10" t="inlineStr">
        <is>
          <t>UI/UX</t>
        </is>
      </c>
      <c r="K118" s="10" t="inlineStr"/>
      <c r="L118" s="10" t="inlineStr"/>
      <c r="M118" s="11" t="inlineStr">
        <is>
          <t>Pass</t>
        </is>
      </c>
      <c r="N118" s="11" t="inlineStr"/>
      <c r="O118" s="11" t="inlineStr"/>
      <c r="P118" s="11" t="inlineStr"/>
    </row>
    <row r="119">
      <c r="A119" s="10" t="n">
        <v>118</v>
      </c>
      <c r="B119" s="10" t="inlineStr">
        <is>
          <t>TC-AUDIT-FE-03</t>
        </is>
      </c>
      <c r="C119" s="10" t="inlineStr">
        <is>
          <t>07 Audit log</t>
        </is>
      </c>
      <c r="D119" s="10" t="inlineStr">
        <is>
          <t>Frontend — Frontend Test Cases (UI Views, JSON Diff Dialog &amp; Filters)</t>
        </is>
      </c>
      <c r="E119" s="10" t="inlineStr">
        <is>
          <t>Lọc và tìm kiếm Audit Logs</t>
        </is>
      </c>
      <c r="F119" s="10" t="inlineStr">
        <is>
          <t>Danh sách audit log đang hiển thị</t>
        </is>
      </c>
      <c r="G119" s="10" t="inlineStr">
        <is>
          <t>1. Chọn lọc Action = `DELETE`
2. Nhập tìm kiếm username</t>
        </is>
      </c>
      <c r="H119" s="10" t="inlineStr">
        <is>
          <t>Tìm kiếm: `admin`</t>
        </is>
      </c>
      <c r="I119" s="10" t="inlineStr">
        <is>
          <t>- Danh sách hiển thị đúng các bản ghi log có hành động xóa được thực hiện bởi tài khoản `admin`.</t>
        </is>
      </c>
      <c r="J119" s="10" t="inlineStr">
        <is>
          <t>Functional / UI</t>
        </is>
      </c>
      <c r="K119" s="10" t="inlineStr"/>
      <c r="L119" s="10" t="inlineStr"/>
      <c r="M119" s="11" t="inlineStr">
        <is>
          <t>Pass</t>
        </is>
      </c>
      <c r="N119" s="11" t="inlineStr"/>
      <c r="O119" s="11" t="inlineStr"/>
      <c r="P119" s="11" t="inlineStr"/>
    </row>
    <row r="120">
      <c r="A120" s="10" t="n">
        <v>119</v>
      </c>
      <c r="B120" s="10" t="inlineStr">
        <is>
          <t>TC-AUDIT-FE-04</t>
        </is>
      </c>
      <c r="C120" s="10" t="inlineStr">
        <is>
          <t>07 Audit log</t>
        </is>
      </c>
      <c r="D120" s="10" t="inlineStr">
        <is>
          <t>Frontend — Frontend Test Cases (UI Views, JSON Diff Dialog &amp; Filters)</t>
        </is>
      </c>
      <c r="E120" s="10" t="inlineStr">
        <is>
          <t>Hiển thị Dialog chi tiết so sánh giá trị (JSON Diff)</t>
        </is>
      </c>
      <c r="F120" s="10" t="inlineStr">
        <is>
          <t>Người dùng click chọn một dòng audit log hành động `UPDATE`</t>
        </is>
      </c>
      <c r="G120" s="10" t="inlineStr">
        <is>
          <t>Click vào hàng log số #501</t>
        </is>
      </c>
      <c r="H120" s="10" t="inlineStr">
        <is>
          <t>N/A</t>
        </is>
      </c>
      <c r="I120" s="10" t="inlineStr">
        <is>
          <t>- Modal chi tiết "Chi tiết Audit Log #501" hiển thị.
- Giao diện hiển thị 2 khung so sánh rõ ràng: Khung bên trái (Trước - `old_value`) và Khung bên phải (Sau - `new_value`) ở định dạng code JSON dễ đọc.</t>
        </is>
      </c>
      <c r="J120" s="10" t="inlineStr">
        <is>
          <t>UI/UX / Functional</t>
        </is>
      </c>
      <c r="K120" s="10" t="inlineStr"/>
      <c r="L120" s="10" t="inlineStr"/>
      <c r="M120" s="11" t="inlineStr">
        <is>
          <t>Pass</t>
        </is>
      </c>
      <c r="N120" s="11" t="inlineStr"/>
      <c r="O120" s="11" t="inlineStr"/>
      <c r="P120" s="11" t="inlineStr"/>
    </row>
    <row r="121">
      <c r="A121" s="10" t="n">
        <v>120</v>
      </c>
      <c r="B121" s="10" t="inlineStr">
        <is>
          <t>TC-AUDIT-FE-05</t>
        </is>
      </c>
      <c r="C121" s="10" t="inlineStr">
        <is>
          <t>07 Audit log</t>
        </is>
      </c>
      <c r="D121" s="10" t="inlineStr">
        <is>
          <t>Frontend — Frontend Test Cases (UI Views, JSON Diff Dialog &amp; Filters)</t>
        </is>
      </c>
      <c r="E121" s="10" t="inlineStr">
        <is>
          <t>Hiển thị Dialog chi tiết đối với hành động CREATE</t>
        </is>
      </c>
      <c r="F121" s="10" t="inlineStr">
        <is>
          <t>Người dùng click chọn một dòng audit log hành động `CREATE`</t>
        </is>
      </c>
      <c r="G121" s="10" t="inlineStr">
        <is>
          <t>Click vào hàng log số #503</t>
        </is>
      </c>
      <c r="H121" s="10" t="inlineStr">
        <is>
          <t>N/A</t>
        </is>
      </c>
      <c r="I121" s="10" t="inlineStr">
        <is>
          <t>- Modal hiển thị chi tiết.
- Vì là hành động tạo mới, khung `old_value` ghi nhận rỗng (`null`) hoặc ẩn đi. Chỉ hiển thị khung `new_value` chứa thông tin được tạo.</t>
        </is>
      </c>
      <c r="J121" s="10" t="inlineStr">
        <is>
          <t>UI/UX</t>
        </is>
      </c>
      <c r="K121" s="10" t="inlineStr"/>
      <c r="L121" s="10" t="inlineStr"/>
      <c r="M121" s="11" t="inlineStr">
        <is>
          <t>Pass</t>
        </is>
      </c>
      <c r="N121" s="11" t="inlineStr"/>
      <c r="O121" s="11" t="inlineStr"/>
      <c r="P121" s="11" t="inlineStr"/>
    </row>
    <row r="122">
      <c r="A122" s="10" t="n">
        <v>121</v>
      </c>
      <c r="B122" s="10" t="inlineStr">
        <is>
          <t>TC-AUDIT-FE-06</t>
        </is>
      </c>
      <c r="C122" s="10" t="inlineStr">
        <is>
          <t>07 Audit log</t>
        </is>
      </c>
      <c r="D122" s="10" t="inlineStr">
        <is>
          <t>Frontend — Frontend Test Cases (UI Views, JSON Diff Dialog &amp; Filters)</t>
        </is>
      </c>
      <c r="E122" s="10" t="inlineStr">
        <is>
          <t>Hiển thị Dialog chi tiết đối với hành động DELETE</t>
        </is>
      </c>
      <c r="F122" s="10" t="inlineStr">
        <is>
          <t>Người dùng click chọn một dòng audit log hành động `DELETE`</t>
        </is>
      </c>
      <c r="G122" s="10" t="inlineStr">
        <is>
          <t>Click vào hàng log xóa Node</t>
        </is>
      </c>
      <c r="H122" s="10" t="inlineStr">
        <is>
          <t>N/A</t>
        </is>
      </c>
      <c r="I122" s="10" t="inlineStr">
        <is>
          <t>- Modal hiển thị chi tiết.
- Khung `new_value` ghi nhận rỗng (`null`). Chỉ hiển thị khung `old_value` chứa thông tin trước khi xóa.</t>
        </is>
      </c>
      <c r="J122" s="10" t="inlineStr">
        <is>
          <t>UI/UX</t>
        </is>
      </c>
      <c r="K122" s="10" t="inlineStr"/>
      <c r="L122" s="10" t="inlineStr"/>
      <c r="M122" s="11" t="inlineStr">
        <is>
          <t>Pass</t>
        </is>
      </c>
      <c r="N122" s="11" t="inlineStr"/>
      <c r="O122" s="11" t="inlineStr"/>
      <c r="P122" s="11" t="inlineStr"/>
    </row>
    <row r="123">
      <c r="A123" s="10" t="n">
        <v>122</v>
      </c>
      <c r="B123" s="10" t="inlineStr">
        <is>
          <t>TC-AUDIT-FE-07</t>
        </is>
      </c>
      <c r="C123" s="10" t="inlineStr">
        <is>
          <t>07 Audit log</t>
        </is>
      </c>
      <c r="D123" s="10" t="inlineStr">
        <is>
          <t>Frontend — Frontend Test Cases (UI Views, JSON Diff Dialog &amp; Filters)</t>
        </is>
      </c>
      <c r="E123" s="10" t="inlineStr">
        <is>
          <t>Tích hợp hàm `logAudit()` tự động (Mock Phase)</t>
        </is>
      </c>
      <c r="F123" s="10" t="inlineStr">
        <is>
          <t>Người dùng đăng nhập quyền ADMIN</t>
        </is>
      </c>
      <c r="G123" s="10" t="inlineStr">
        <is>
          <t>Thực hiện một hành động (như Sửa Node) và quay lại trang Audit Logs</t>
        </is>
      </c>
      <c r="H123" s="10" t="inlineStr">
        <is>
          <t>Sửa tên Node</t>
        </is>
      </c>
      <c r="I123" s="10" t="inlineStr">
        <is>
          <t>- Hệ thống tự động gọi hàm `logAudit()` trong Context.
- Log mới lập tức xuất hiện ở đầu bảng trang `/app/audit-logs` với thông tin chi tiết.</t>
        </is>
      </c>
      <c r="J123" s="10" t="inlineStr">
        <is>
          <t>Functional / Simulator</t>
        </is>
      </c>
      <c r="K123" s="10" t="inlineStr"/>
      <c r="L123" s="10" t="inlineStr"/>
      <c r="M123" s="11" t="inlineStr">
        <is>
          <t>Pass</t>
        </is>
      </c>
      <c r="N123" s="11" t="inlineStr"/>
      <c r="O123" s="11" t="inlineStr"/>
      <c r="P123" s="11" t="inlineStr"/>
    </row>
    <row r="124">
      <c r="A124" s="10" t="n">
        <v>123</v>
      </c>
      <c r="B124" s="10" t="inlineStr">
        <is>
          <t>TC-METRIC-BE-01</t>
        </is>
      </c>
      <c r="C124" s="10" t="inlineStr">
        <is>
          <t>08 Lịch sử metrics</t>
        </is>
      </c>
      <c r="D124" s="10" t="inlineStr">
        <is>
          <t>Backend — Backend Test Cases (Time-Series Database, Metrics API &amp; Cleanup Job)</t>
        </is>
      </c>
      <c r="E124" s="10" t="inlineStr">
        <is>
          <t>Lưu snapshot chỉ số sau mỗi chu kỳ quét thành công</t>
        </is>
      </c>
      <c r="F124" s="10" t="inlineStr">
        <is>
          <t>Scheduler quét thành công một Node active</t>
        </is>
      </c>
      <c r="G124" s="10" t="inlineStr">
        <is>
          <t>Theo dõi bảng `Node_Metrics` sau khi scheduler hoàn tất quét</t>
        </is>
      </c>
      <c r="H124" s="10" t="inlineStr">
        <is>
          <t>N/A</t>
        </is>
      </c>
      <c r="I124" s="10" t="inlineStr">
        <is>
          <t>- Một bản ghi mới được thêm vào bảng `Node_Metrics`.
- Các trường được lưu đúng: `node_id`, `disk_pct` (giá trị đo được), `cpu_pct` và `ram_pct` (giá trị đo được ở v2.0), `checked_at` (thời điểm lưu).</t>
        </is>
      </c>
      <c r="J124" s="10" t="inlineStr">
        <is>
          <t>Functional / Database</t>
        </is>
      </c>
      <c r="K124" s="10" t="inlineStr"/>
      <c r="L124" s="10" t="inlineStr"/>
      <c r="M124" s="11" t="inlineStr">
        <is>
          <t>Chưa chạy</t>
        </is>
      </c>
      <c r="N124" s="11" t="inlineStr"/>
      <c r="O124" s="11" t="inlineStr"/>
      <c r="P124" s="11" t="inlineStr"/>
    </row>
    <row r="125">
      <c r="A125" s="10" t="n">
        <v>124</v>
      </c>
      <c r="B125" s="10" t="inlineStr">
        <is>
          <t>TC-METRIC-BE-02</t>
        </is>
      </c>
      <c r="C125" s="10" t="inlineStr">
        <is>
          <t>08 Lịch sử metrics</t>
        </is>
      </c>
      <c r="D125" s="10" t="inlineStr">
        <is>
          <t>Backend — Backend Test Cases (Time-Series Database, Metrics API &amp; Cleanup Job)</t>
        </is>
      </c>
      <c r="E125" s="10" t="inlineStr">
        <is>
          <t>Chỉ số null khi quét SSH lỗi (v2.0)</t>
        </is>
      </c>
      <c r="F125" s="10" t="inlineStr">
        <is>
          <t>Node xảy ra lỗi SSH (unreachable) khi scheduler quét</t>
        </is>
      </c>
      <c r="G125" s="10" t="inlineStr">
        <is>
          <t>Chờ scheduler hoàn tất chu kỳ</t>
        </is>
      </c>
      <c r="H125" s="10" t="inlineStr">
        <is>
          <t>Host: offline</t>
        </is>
      </c>
      <c r="I125" s="10" t="inlineStr">
        <is>
          <t>- Hệ thống lưu bản ghi snapshot vào DB với các trường `disk_pct = null`, `cpu_pct = null`, `ram_pct = null` để thể hiện trạng thái mất dữ liệu đo.</t>
        </is>
      </c>
      <c r="J125" s="10" t="inlineStr">
        <is>
          <t>Robustness / Database</t>
        </is>
      </c>
      <c r="K125" s="10" t="inlineStr"/>
      <c r="L125" s="10" t="inlineStr"/>
      <c r="M125" s="11" t="inlineStr">
        <is>
          <t>Chưa chạy</t>
        </is>
      </c>
      <c r="N125" s="11" t="inlineStr"/>
      <c r="O125" s="11" t="inlineStr"/>
      <c r="P125" s="11" t="inlineStr"/>
    </row>
    <row r="126">
      <c r="A126" s="10" t="n">
        <v>125</v>
      </c>
      <c r="B126" s="10" t="inlineStr">
        <is>
          <t>TC-METRIC-BE-03</t>
        </is>
      </c>
      <c r="C126" s="10" t="inlineStr">
        <is>
          <t>08 Lịch sử metrics</t>
        </is>
      </c>
      <c r="D126" s="10" t="inlineStr">
        <is>
          <t>Backend — Backend Test Cases (Time-Series Database, Metrics API &amp; Cleanup Job)</t>
        </is>
      </c>
      <c r="E126" s="10" t="inlineStr">
        <is>
          <t>API lấy dữ liệu lịch sử Metrics theo dải thời gian</t>
        </is>
      </c>
      <c r="F126" s="10" t="inlineStr">
        <is>
          <t>Node có sẵn lịch sử metrics đo được trong 30 ngày qua</t>
        </is>
      </c>
      <c r="G126" s="10" t="inlineStr">
        <is>
          <t>Gửi request `GET /api/nodes/{id}/metrics?range=24h` (và `7d`, `30d`)</t>
        </is>
      </c>
      <c r="H126" s="10" t="inlineStr">
        <is>
          <t>`id` của Node và param `range`</t>
        </is>
      </c>
      <c r="I126" s="10" t="inlineStr">
        <is>
          <t>- Trả về `HTTP 200 OK`.
- Response JSON chứa: `nodeId`, `nodeName`, `range` và mảng `metrics[]` sắp xếp tăng dần theo thời gian (`checkedAt` tăng dần).
- Số điểm dữ liệu tương ứng với range: `24h` trả về dữ liệu 24 giờ qua (khoảng 288 điểm đo nếu quét 5p/lần).</t>
        </is>
      </c>
      <c r="J126" s="10" t="inlineStr">
        <is>
          <t>Functional</t>
        </is>
      </c>
      <c r="K126" s="10" t="inlineStr"/>
      <c r="L126" s="10" t="inlineStr"/>
      <c r="M126" s="11" t="inlineStr">
        <is>
          <t>Chưa chạy</t>
        </is>
      </c>
      <c r="N126" s="11" t="inlineStr"/>
      <c r="O126" s="11" t="inlineStr"/>
      <c r="P126" s="11" t="inlineStr"/>
    </row>
    <row r="127">
      <c r="A127" s="10" t="n">
        <v>126</v>
      </c>
      <c r="B127" s="10" t="inlineStr">
        <is>
          <t>TC-METRIC-BE-04</t>
        </is>
      </c>
      <c r="C127" s="10" t="inlineStr">
        <is>
          <t>08 Lịch sử metrics</t>
        </is>
      </c>
      <c r="D127" s="10" t="inlineStr">
        <is>
          <t>Backend — Backend Test Cases (Time-Series Database, Metrics API &amp; Cleanup Job)</t>
        </is>
      </c>
      <c r="E127" s="10" t="inlineStr">
        <is>
          <t>Dọn dẹp dữ liệu cũ tự động (Cleanup Job)</t>
        </is>
      </c>
      <c r="F127" s="10" t="inlineStr">
        <is>
          <t>Cấu hình lưu trữ dữ liệu là 90 ngày (`smartops.metrics.retention-days = 90`)</t>
        </is>
      </c>
      <c r="G127" s="10" t="inlineStr">
        <is>
          <t>1. Đặt cấu hình test dọn dẹp sau 1 ngày.
2. Chờ tới 02:00 AM (hoặc trigger job thủ công).</t>
        </is>
      </c>
      <c r="H127" s="10" t="inlineStr">
        <is>
          <t>Dữ liệu cũ hơn 90 ngày tồn tại trong DB</t>
        </is>
      </c>
      <c r="I127" s="10" t="inlineStr">
        <is>
          <t>- Job cleanup kích hoạt thành công lúc 02:00 AM.
- Thực hiện câu lệnh xóa toàn bộ bản ghi có `checked_at` trước mốc thời gian cutoff (90 ngày trước).
- Log hệ thống ghi nhận số bản ghi metrics đã xóa thành công.</t>
        </is>
      </c>
      <c r="J127" s="10" t="inlineStr">
        <is>
          <t>Functional / Performance</t>
        </is>
      </c>
      <c r="K127" s="10" t="inlineStr"/>
      <c r="L127" s="10" t="inlineStr"/>
      <c r="M127" s="11" t="inlineStr">
        <is>
          <t>Pass</t>
        </is>
      </c>
      <c r="N127" s="11" t="inlineStr"/>
      <c r="O127" s="11" t="inlineStr"/>
      <c r="P127" s="11" t="inlineStr"/>
    </row>
    <row r="128">
      <c r="A128" s="10" t="n">
        <v>127</v>
      </c>
      <c r="B128" s="10" t="inlineStr">
        <is>
          <t>TC-METRIC-FE-01</t>
        </is>
      </c>
      <c r="C128" s="10" t="inlineStr">
        <is>
          <t>08 Lịch sử metrics</t>
        </is>
      </c>
      <c r="D128" s="10" t="inlineStr">
        <is>
          <t>Frontend — Frontend Test Cases (Instant Cards, Recharts LineChart &amp; Caching)</t>
        </is>
      </c>
      <c r="E128" s="10" t="inlineStr">
        <is>
          <t>Điều hướng và hiển thị thông tin Node Detail</t>
        </is>
      </c>
      <c r="F128" s="10" t="inlineStr">
        <is>
          <t>Hệ thống đang hiển thị trang Nodes</t>
        </is>
      </c>
      <c r="G128" s="10" t="inlineStr">
        <is>
          <t>Click vào tên Node `prod-web-01`</t>
        </is>
      </c>
      <c r="H128" s="10" t="inlineStr">
        <is>
          <t>N/A</t>
        </is>
      </c>
      <c r="I128" s="10" t="inlineStr">
        <is>
          <t>- Ứng dụng điều hướng sang `/app/nodes/1`. 
- Header hiển thị tên máy chủ lớn, IP:Port và badge trạng thái Active.
- Nút Sửa và nút Kiểm tra ngay (ADMIN) hiển thị đúng vị trí.</t>
        </is>
      </c>
      <c r="J128" s="10" t="inlineStr">
        <is>
          <t>Functional / UI</t>
        </is>
      </c>
      <c r="K128" s="10" t="inlineStr"/>
      <c r="L128" s="10" t="inlineStr"/>
      <c r="M128" s="11" t="inlineStr">
        <is>
          <t>Pass</t>
        </is>
      </c>
      <c r="N128" s="11" t="inlineStr"/>
      <c r="O128" s="11" t="inlineStr"/>
      <c r="P128" s="11" t="inlineStr"/>
    </row>
    <row r="129">
      <c r="A129" s="10" t="n">
        <v>128</v>
      </c>
      <c r="B129" s="10" t="inlineStr">
        <is>
          <t>TC-METRIC-FE-02</t>
        </is>
      </c>
      <c r="C129" s="10" t="inlineStr">
        <is>
          <t>08 Lịch sử metrics</t>
        </is>
      </c>
      <c r="D129" s="10" t="inlineStr">
        <is>
          <t>Frontend — Frontend Test Cases (Instant Cards, Recharts LineChart &amp; Caching)</t>
        </is>
      </c>
      <c r="E129" s="10" t="inlineStr">
        <is>
          <t>Thẻ chỉ số tức thời (Instant Metric Cards)</t>
        </is>
      </c>
      <c r="F129" s="10" t="inlineStr">
        <is>
          <t>Node detail đang hiển thị</t>
        </is>
      </c>
      <c r="G129" s="10" t="inlineStr">
        <is>
          <t>Xem 3 thẻ CPU, RAM, Disk</t>
        </is>
      </c>
      <c r="H129" s="10" t="inlineStr">
        <is>
          <t>N/A</t>
        </is>
      </c>
      <c r="I129" s="10" t="inlineStr">
        <is>
          <t>- Ba thẻ hiển thị giá trị hiện tại của Node.
- Màu nền thay đổi theo ngưỡng: CPU xanh &lt;75%, vàng 75-90%, đỏ &gt;=90%; Disk/RAM xanh &lt;80%, vàng 80-90%, đỏ &gt;=90%.
- Hiển thị icon cảnh báo `AlertTriangle` nhấp nháy bên cạnh chỉ số nếu vượt ngưỡng.</t>
        </is>
      </c>
      <c r="J129" s="10" t="inlineStr">
        <is>
          <t>UI/UX</t>
        </is>
      </c>
      <c r="K129" s="10" t="inlineStr"/>
      <c r="L129" s="10" t="inlineStr"/>
      <c r="M129" s="11" t="inlineStr">
        <is>
          <t>Pass</t>
        </is>
      </c>
      <c r="N129" s="11" t="inlineStr"/>
      <c r="O129" s="11" t="inlineStr"/>
      <c r="P129" s="11" t="inlineStr"/>
    </row>
    <row r="130">
      <c r="A130" s="10" t="n">
        <v>129</v>
      </c>
      <c r="B130" s="10" t="inlineStr">
        <is>
          <t>TC-METRIC-FE-03</t>
        </is>
      </c>
      <c r="C130" s="10" t="inlineStr">
        <is>
          <t>08 Lịch sử metrics</t>
        </is>
      </c>
      <c r="D130" s="10" t="inlineStr">
        <is>
          <t>Frontend — Frontend Test Cases (Instant Cards, Recharts LineChart &amp; Caching)</t>
        </is>
      </c>
      <c r="E130" s="10" t="inlineStr">
        <is>
          <t>Hiển thị biểu đồ lịch sử Recharts LineChart</t>
        </is>
      </c>
      <c r="F130" s="10" t="inlineStr">
        <is>
          <t>Node detail đang hiển thị</t>
        </is>
      </c>
      <c r="G130" s="10" t="inlineStr">
        <is>
          <t>Xem biểu đồ lịch sử bên dưới các thẻ chỉ số</t>
        </is>
      </c>
      <c r="H130" s="10" t="inlineStr">
        <is>
          <t>N/A</t>
        </is>
      </c>
      <c r="I130" s="10" t="inlineStr">
        <is>
          <t>- Biểu đồ dạng LineChart hiển thị mượt mà.
- Có đầy đủ lưới tọa độ (`CartesianGrid`), trục X (thời gian), trục Y (từ 0% đến 100%).
- Hiển thị 3 đường line màu sắc phân biệt: Disk (xanh dương `#3b82f6`), CPU (vàng cam `#f59e0b`), RAM (tím `#8b5cf6`).</t>
        </is>
      </c>
      <c r="J130" s="10" t="inlineStr">
        <is>
          <t>UI/UX</t>
        </is>
      </c>
      <c r="K130" s="10" t="inlineStr"/>
      <c r="L130" s="10" t="inlineStr"/>
      <c r="M130" s="11" t="inlineStr">
        <is>
          <t>Pass</t>
        </is>
      </c>
      <c r="N130" s="11" t="inlineStr"/>
      <c r="O130" s="11" t="inlineStr"/>
      <c r="P130" s="11" t="inlineStr"/>
    </row>
    <row r="131">
      <c r="A131" s="10" t="n">
        <v>130</v>
      </c>
      <c r="B131" s="10" t="inlineStr">
        <is>
          <t>TC-METRIC-FE-04</t>
        </is>
      </c>
      <c r="C131" s="10" t="inlineStr">
        <is>
          <t>08 Lịch sử metrics</t>
        </is>
      </c>
      <c r="D131" s="10" t="inlineStr">
        <is>
          <t>Frontend — Frontend Test Cases (Instant Cards, Recharts LineChart &amp; Caching)</t>
        </is>
      </c>
      <c r="E131" s="10" t="inlineStr">
        <is>
          <t>Đường chỉ báo ngưỡng Warning và Critical trên biểu đồ</t>
        </is>
      </c>
      <c r="F131" s="10" t="inlineStr">
        <is>
          <t>Biểu đồ đang hiển thị</t>
        </is>
      </c>
      <c r="G131" s="10" t="inlineStr">
        <is>
          <t>Xem các đường kẻ ReferenceLine ngang</t>
        </is>
      </c>
      <c r="H131" s="10" t="inlineStr">
        <is>
          <t>Ngưỡng: `80%` và `90%`</t>
        </is>
      </c>
      <c r="I131" s="10" t="inlineStr">
        <is>
          <t>- Có đường đứt nét màu vàng cam tại mốc 80% kèm nhãn "Warning 80%".
- Có đường đứt nét màu đỏ tại mốc 90% kèm nhãn "Critical 90%".</t>
        </is>
      </c>
      <c r="J131" s="10" t="inlineStr">
        <is>
          <t>UI/UX</t>
        </is>
      </c>
      <c r="K131" s="10" t="inlineStr"/>
      <c r="L131" s="10" t="inlineStr"/>
      <c r="M131" s="11" t="inlineStr">
        <is>
          <t>Pass</t>
        </is>
      </c>
      <c r="N131" s="11" t="inlineStr"/>
      <c r="O131" s="11" t="inlineStr"/>
      <c r="P131" s="11" t="inlineStr"/>
    </row>
    <row r="132">
      <c r="A132" s="10" t="n">
        <v>131</v>
      </c>
      <c r="B132" s="10" t="inlineStr">
        <is>
          <t>TC-METRIC-FE-05</t>
        </is>
      </c>
      <c r="C132" s="10" t="inlineStr">
        <is>
          <t>08 Lịch sử metrics</t>
        </is>
      </c>
      <c r="D132" s="10" t="inlineStr">
        <is>
          <t>Frontend — Frontend Test Cases (Instant Cards, Recharts LineChart &amp; Caching)</t>
        </is>
      </c>
      <c r="E132" s="10" t="inlineStr">
        <is>
          <t>Tooltip chi tiết khi tương tác với biểu đồ</t>
        </is>
      </c>
      <c r="F132" s="10" t="inlineStr">
        <is>
          <t>Biểu đồ đang hiển thị</t>
        </is>
      </c>
      <c r="G132" s="10" t="inlineStr">
        <is>
          <t>Rê chuột (hover) qua các điểm dữ liệu trên biểu đồ</t>
        </is>
      </c>
      <c r="H132" s="10" t="inlineStr">
        <is>
          <t>N/A</t>
        </is>
      </c>
      <c r="I132" s="10" t="inlineStr">
        <is>
          <t>- Tooltip hiển thị tại vị trí trỏ chuột.
- Nội dung tooltip hiển thị rõ: mốc thời gian và chi tiết giá trị % của CPU, RAM, Disk tương ứng với màu sắc của đường biểu diễn.</t>
        </is>
      </c>
      <c r="J132" s="10" t="inlineStr">
        <is>
          <t>UI/UX / UX</t>
        </is>
      </c>
      <c r="K132" s="10" t="inlineStr"/>
      <c r="L132" s="10" t="inlineStr"/>
      <c r="M132" s="11" t="inlineStr">
        <is>
          <t>Pass</t>
        </is>
      </c>
      <c r="N132" s="11" t="inlineStr"/>
      <c r="O132" s="11" t="inlineStr"/>
      <c r="P132" s="11" t="inlineStr"/>
    </row>
    <row r="133">
      <c r="A133" s="10" t="n">
        <v>132</v>
      </c>
      <c r="B133" s="10" t="inlineStr">
        <is>
          <t>TC-METRIC-FE-06</t>
        </is>
      </c>
      <c r="C133" s="10" t="inlineStr">
        <is>
          <t>08 Lịch sử metrics</t>
        </is>
      </c>
      <c r="D133" s="10" t="inlineStr">
        <is>
          <t>Frontend — Frontend Test Cases (Instant Cards, Recharts LineChart &amp; Caching)</t>
        </is>
      </c>
      <c r="E133" s="10" t="inlineStr">
        <is>
          <t>Bộ lọc khoảng thời gian biểu đồ (Range selector)</t>
        </is>
      </c>
      <c r="F133" s="10" t="inlineStr">
        <is>
          <t>Node detail đang hiển thị, mặc định biểu đồ chọn range "24h"</t>
        </is>
      </c>
      <c r="G133" s="10" t="inlineStr">
        <is>
          <t>Click chọn nút "7 ngày" và "30 ngày"</t>
        </is>
      </c>
      <c r="H133" s="10" t="inlineStr">
        <is>
          <t>N/A</t>
        </is>
      </c>
      <c r="I133" s="10" t="inlineStr">
        <is>
          <t>- Biểu đồ tải lại dữ liệu mới.
- Trục X thay đổi định dạng hiển thị: 24h hiển thị dạng giờ phút `HH:mm`, 7d và 30d hiển thị dạng ngày tháng `MM/DD`.</t>
        </is>
      </c>
      <c r="J133" s="10" t="inlineStr">
        <is>
          <t>Functional / UI</t>
        </is>
      </c>
      <c r="K133" s="10" t="inlineStr"/>
      <c r="L133" s="10" t="inlineStr"/>
      <c r="M133" s="11" t="inlineStr">
        <is>
          <t>Pass</t>
        </is>
      </c>
      <c r="N133" s="11" t="inlineStr"/>
      <c r="O133" s="11" t="inlineStr"/>
      <c r="P133" s="11" t="inlineStr"/>
    </row>
    <row r="134">
      <c r="A134" s="10" t="n">
        <v>133</v>
      </c>
      <c r="B134" s="10" t="inlineStr">
        <is>
          <t>TC-METRIC-FE-07</t>
        </is>
      </c>
      <c r="C134" s="10" t="inlineStr">
        <is>
          <t>08 Lịch sử metrics</t>
        </is>
      </c>
      <c r="D134" s="10" t="inlineStr">
        <is>
          <t>Frontend — Frontend Test Cases (Instant Cards, Recharts LineChart &amp; Caching)</t>
        </is>
      </c>
      <c r="E134" s="10" t="inlineStr">
        <is>
          <t>Cơ chế Cache dữ liệu biểu đồ tránh request trùng lặp</t>
        </is>
      </c>
      <c r="F134" s="10" t="inlineStr">
        <is>
          <t>Người dùng đang xem chi tiết Node</t>
        </is>
      </c>
      <c r="G134" s="10" t="inlineStr">
        <is>
          <t>1. Click chọn dải "7 ngày".
2. Chọn lại dải "24 giờ".
3. Kiểm tra xem hệ thống có gửi lại request (ở Mock/API) không.</t>
        </is>
      </c>
      <c r="H134" s="10" t="inlineStr">
        <is>
          <t>N/A</t>
        </is>
      </c>
      <c r="I134" s="10" t="inlineStr">
        <is>
          <t>- Đạt: Lần đầu tiên click chọn "7 ngày", dữ liệu được sinh/fetch và lưu vào cache `{nodeId}_{range}` (Cache miss).
- Khi click lại "24 giờ", hệ thống đọc trực tiếp từ cache cũ trong RAM Context (Cache hit), biểu đồ hiển thị lập tức mà không phải tải lại dữ liệu từ Server.</t>
        </is>
      </c>
      <c r="J134" s="10" t="inlineStr">
        <is>
          <t>Performance / UX</t>
        </is>
      </c>
      <c r="K134" s="10" t="inlineStr"/>
      <c r="L134" s="10" t="inlineStr"/>
      <c r="M134" s="11" t="inlineStr">
        <is>
          <t>Pass</t>
        </is>
      </c>
      <c r="N134" s="11" t="inlineStr"/>
      <c r="O134" s="11" t="inlineStr"/>
      <c r="P134" s="11" t="inlineStr"/>
    </row>
    <row r="135">
      <c r="A135" s="10" t="n">
        <v>134</v>
      </c>
      <c r="B135" s="10" t="inlineStr">
        <is>
          <t>TC-METRIC-FE-08</t>
        </is>
      </c>
      <c r="C135" s="10" t="inlineStr">
        <is>
          <t>08 Lịch sử metrics</t>
        </is>
      </c>
      <c r="D135" s="10" t="inlineStr">
        <is>
          <t>Frontend — Frontend Test Cases (Instant Cards, Recharts LineChart &amp; Caching)</t>
        </is>
      </c>
      <c r="E135" s="10" t="inlineStr">
        <is>
          <t>Bảng sự cố riêng của Node</t>
        </is>
      </c>
      <c r="F135" s="10" t="inlineStr">
        <is>
          <t>Node detail đang hiển thị</t>
        </is>
      </c>
      <c r="G135" s="10" t="inlineStr">
        <is>
          <t>Xem bảng danh sách phía dưới biểu đồ</t>
        </is>
      </c>
      <c r="H135" s="10" t="inlineStr">
        <is>
          <t>N/A</t>
        </is>
      </c>
      <c r="I135" s="10" t="inlineStr">
        <is>
          <t>- Bảng hiển thị tối đa 20 sự cố gần nhất liên quan tới riêng Node đang xem.
- Cấu trúc bảng giống trang Incidents nhưng ẩn cột Node (do đã biết là Node này).</t>
        </is>
      </c>
      <c r="J135" s="10" t="inlineStr">
        <is>
          <t>Functional / UI</t>
        </is>
      </c>
      <c r="K135" s="10" t="inlineStr"/>
      <c r="L135" s="10" t="inlineStr"/>
      <c r="M135" s="11" t="inlineStr">
        <is>
          <t>Pass</t>
        </is>
      </c>
      <c r="N135" s="11" t="inlineStr"/>
      <c r="O135" s="11" t="inlineStr"/>
      <c r="P135" s="11" t="inlineStr"/>
    </row>
    <row r="136">
      <c r="A136" s="10" t="n">
        <v>135</v>
      </c>
      <c r="B136" s="10" t="inlineStr">
        <is>
          <t>TC-CONFIG-BE-01</t>
        </is>
      </c>
      <c r="C136" s="10" t="inlineStr">
        <is>
          <t>09 Cấu hình hệ thống</t>
        </is>
      </c>
      <c r="D136" s="10" t="inlineStr">
        <is>
          <t>Backend — Backend Test Cases (Properties, Environment Variables &amp; Profiles)</t>
        </is>
      </c>
      <c r="E136" s="10" t="inlineStr">
        <is>
          <t>Ghi đè cấu hình DB bằng Biến môi trường</t>
        </is>
      </c>
      <c r="F136" s="10" t="inlineStr">
        <is>
          <t>Thiết lập biến môi trường DB_PASSWORD trên hệ điều hành</t>
        </is>
      </c>
      <c r="G136" s="10" t="inlineStr">
        <is>
          <t>Khởi động Spring Boot và kết nối cơ sở dữ liệu</t>
        </is>
      </c>
      <c r="H136" s="10" t="inlineStr">
        <is>
          <t>`DB_PASSWORD = "secret_db_pass"`</t>
        </is>
      </c>
      <c r="I136" s="10" t="inlineStr">
        <is>
          <t>- Spring Boot nạp cấu hình và kết nối cơ sở dữ liệu SQL Server thành công sử dụng password từ biến môi trường.
- Không có mật khẩu plaintext nào lưu trữ trong file properties cấu hình.</t>
        </is>
      </c>
      <c r="J136" s="10" t="inlineStr">
        <is>
          <t>Security / Functional</t>
        </is>
      </c>
      <c r="K136" s="10" t="inlineStr"/>
      <c r="L136" s="10" t="inlineStr"/>
      <c r="M136" s="11" t="inlineStr">
        <is>
          <t>Pass</t>
        </is>
      </c>
      <c r="N136" s="11" t="inlineStr"/>
      <c r="O136" s="11" t="inlineStr"/>
      <c r="P136" s="11" t="inlineStr"/>
    </row>
    <row r="137">
      <c r="A137" s="10" t="n">
        <v>136</v>
      </c>
      <c r="B137" s="10" t="inlineStr">
        <is>
          <t>TC-CONFIG-BE-02</t>
        </is>
      </c>
      <c r="C137" s="10" t="inlineStr">
        <is>
          <t>09 Cấu hình hệ thống</t>
        </is>
      </c>
      <c r="D137" s="10" t="inlineStr">
        <is>
          <t>Backend — Backend Test Cases (Properties, Environment Variables &amp; Profiles)</t>
        </is>
      </c>
      <c r="E137" s="10" t="inlineStr">
        <is>
          <t>Khởi động môi trường Production với Profile `prod`</t>
        </is>
      </c>
      <c r="F137" s="10" t="inlineStr">
        <is>
          <t>Cài đặt biến môi trường `SPRING_PROFILES_ACTIVE = prod`</t>
        </is>
      </c>
      <c r="G137" s="10" t="inlineStr">
        <is>
          <t>Khởi động Spring Boot qua CLI</t>
        </is>
      </c>
      <c r="H137" s="10" t="inlineStr">
        <is>
          <t>CLI:
`java -jar -Dspring.profiles.active=prod smart-ops.jar`</t>
        </is>
      </c>
      <c r="I137" s="10" t="inlineStr">
        <is>
          <t>- Spring Boot khởi động sử dụng file cấu hình `application-prod.properties` (hoặc profile `prod` trong YAML).
- Tắt toàn bộ log truy vấn JPA (`spring.jpa.show-sql = false`).
- Chế độ tự động sửa schema database chuyển sang kiểm tra cấu trúc (`spring.jpa.hibernate.ddl-auto = validate`).</t>
        </is>
      </c>
      <c r="J137" s="10" t="inlineStr">
        <is>
          <t>Functional</t>
        </is>
      </c>
      <c r="K137" s="10" t="inlineStr"/>
      <c r="L137" s="10" t="inlineStr"/>
      <c r="M137" s="11" t="inlineStr">
        <is>
          <t>Pass</t>
        </is>
      </c>
      <c r="N137" s="11" t="inlineStr"/>
      <c r="O137" s="11" t="inlineStr"/>
      <c r="P137" s="11" t="inlineStr"/>
    </row>
    <row r="138">
      <c r="A138" s="10" t="n">
        <v>137</v>
      </c>
      <c r="B138" s="10" t="inlineStr">
        <is>
          <t>TC-CONFIG-BE-03</t>
        </is>
      </c>
      <c r="C138" s="10" t="inlineStr">
        <is>
          <t>09 Cấu hình hệ thống</t>
        </is>
      </c>
      <c r="D138" s="10" t="inlineStr">
        <is>
          <t>Backend — Backend Test Cases (Properties, Environment Variables &amp; Profiles)</t>
        </is>
      </c>
      <c r="E138" s="10" t="inlineStr">
        <is>
          <t>Khởi động HTTPS ở môi trường Production</t>
        </is>
      </c>
      <c r="F138" s="10" t="inlineStr">
        <is>
          <t>Cấu hình SSL keystore PKCS12 trong classpath và khai báo password</t>
        </is>
      </c>
      <c r="G138" s="10" t="inlineStr">
        <is>
          <t>Khởi động server ở profile prod</t>
        </is>
      </c>
      <c r="H138" s="10" t="inlineStr">
        <is>
          <t>N/A</t>
        </is>
      </c>
      <c r="I138" s="10" t="inlineStr">
        <is>
          <t>- Server khởi chạy thành công trên cổng SSL (mặc định 8443 hoặc 8080 tùy cấu hình HTTPS).
- Mọi kết nối HTTP thường bị từ chối hoặc chuyển hướng tự động sang HTTPS.</t>
        </is>
      </c>
      <c r="J138" s="10" t="inlineStr">
        <is>
          <t>Security</t>
        </is>
      </c>
      <c r="K138" s="10" t="inlineStr"/>
      <c r="L138" s="10" t="inlineStr"/>
      <c r="M138" s="11" t="inlineStr">
        <is>
          <t>Pass</t>
        </is>
      </c>
      <c r="N138" s="11" t="inlineStr"/>
      <c r="O138" s="11" t="inlineStr"/>
      <c r="P138" s="11" t="inlineStr"/>
    </row>
    <row r="139">
      <c r="A139" s="10" t="n">
        <v>138</v>
      </c>
      <c r="B139" s="10" t="inlineStr">
        <is>
          <t>TC-CONFIG-BE-04</t>
        </is>
      </c>
      <c r="C139" s="10" t="inlineStr">
        <is>
          <t>09 Cấu hình hệ thống</t>
        </is>
      </c>
      <c r="D139" s="10" t="inlineStr">
        <is>
          <t>Backend — Backend Test Cases (Properties, Environment Variables &amp; Profiles)</t>
        </is>
      </c>
      <c r="E139" s="10" t="inlineStr">
        <is>
          <t>Kiểm tra nạp khóa bảo mật JWT_SECRET từ môi trường</t>
        </is>
      </c>
      <c r="F139" s="10" t="inlineStr">
        <is>
          <t>Cấu hình JwtService đọc `smartops.jwt.secret`</t>
        </is>
      </c>
      <c r="G139" s="10" t="inlineStr">
        <is>
          <t>Khởi động và thực hiện đăng nhập</t>
        </is>
      </c>
      <c r="H139" s="10" t="inlineStr">
        <is>
          <t>`JWT_SECRET = "ngau_nhien_64_ky_tu_..."`</t>
        </is>
      </c>
      <c r="I139" s="10" t="inlineStr">
        <is>
          <t>- Hệ thống khởi động thành công.
- JWT Token được ký số bằng thuật toán HMAC-SHA256 sử dụng khóa ngẫu nhiên nạp từ môi trường hợp lệ.</t>
        </is>
      </c>
      <c r="J139" s="10" t="inlineStr">
        <is>
          <t>Security</t>
        </is>
      </c>
      <c r="K139" s="10" t="inlineStr"/>
      <c r="L139" s="10" t="inlineStr"/>
      <c r="M139" s="11" t="inlineStr">
        <is>
          <t>Chưa chạy</t>
        </is>
      </c>
      <c r="N139" s="11" t="inlineStr"/>
      <c r="O139" s="11" t="inlineStr"/>
      <c r="P139" s="11" t="inlineStr"/>
    </row>
    <row r="140">
      <c r="A140" s="10" t="n">
        <v>139</v>
      </c>
      <c r="B140" s="10" t="inlineStr">
        <is>
          <t>TC-CONFIG-BE-05</t>
        </is>
      </c>
      <c r="C140" s="10" t="inlineStr">
        <is>
          <t>09 Cấu hình hệ thống</t>
        </is>
      </c>
      <c r="D140" s="10" t="inlineStr">
        <is>
          <t>Backend — Backend Test Cases (Properties, Environment Variables &amp; Profiles)</t>
        </is>
      </c>
      <c r="E140" s="10" t="inlineStr">
        <is>
          <t>Xác thực kiểm tra kết nối SQL Server bảo mật</t>
        </is>
      </c>
      <c r="F140" s="10" t="inlineStr">
        <is>
          <t>Database SQL Server yêu cầu mã hóa kết nối</t>
        </is>
      </c>
      <c r="G140" s="10" t="inlineStr">
        <is>
          <t>Kiểm tra chuỗi connection url trong properties</t>
        </is>
      </c>
      <c r="H140" s="10" t="inlineStr">
        <is>
          <t>URL:
`jdbc:sqlserver://...;encrypt=true;trustServerCertificate=true`</t>
        </is>
      </c>
      <c r="I140" s="10" t="inlineStr">
        <is>
          <t>- Kết nối DB được mã hóa đường truyền SSL thành công (`encrypt=true`).
- Tránh được việc nghe lén gói tin (Sniffing) dữ liệu giữa App Server và DB Server.</t>
        </is>
      </c>
      <c r="J140" s="10" t="inlineStr">
        <is>
          <t>Security</t>
        </is>
      </c>
      <c r="K140" s="10" t="inlineStr"/>
      <c r="L140" s="10" t="inlineStr"/>
      <c r="M140" s="11" t="inlineStr">
        <is>
          <t>Pass</t>
        </is>
      </c>
      <c r="N140" s="11" t="inlineStr"/>
      <c r="O140" s="11" t="inlineStr"/>
      <c r="P140" s="11" t="inlineStr"/>
    </row>
    <row r="141">
      <c r="A141" s="10" t="n">
        <v>140</v>
      </c>
      <c r="B141" s="10" t="inlineStr">
        <is>
          <t>TC-CONFIG-BE-06</t>
        </is>
      </c>
      <c r="C141" s="10" t="inlineStr">
        <is>
          <t>09 Cấu hình hệ thống</t>
        </is>
      </c>
      <c r="D141" s="10" t="inlineStr">
        <is>
          <t>Backend — Backend Test Cases (Properties, Environment Variables &amp; Profiles)</t>
        </is>
      </c>
      <c r="E141" s="10" t="inlineStr">
        <is>
          <t>Xác nhận nạp đầy đủ các biến môi trường nhạy cảm</t>
        </is>
      </c>
      <c r="F141" s="10" t="inlineStr">
        <is>
          <t>Hệ thống chuẩn bị deploy production</t>
        </is>
      </c>
      <c r="G141" s="10" t="inlineStr">
        <is>
          <t>Đối chiếu cấu hình thực tế với checklist biến môi trường bắt buộc</t>
        </is>
      </c>
      <c r="H141" s="10" t="inlineStr">
        <is>
          <t>Checklist:
DB_PASSWORD, MAIL_PASSWORD, AES_SECRET_KEY, JWT_SECRET</t>
        </is>
      </c>
      <c r="I141" s="10" t="inlineStr">
        <is>
          <t>- Đạt: Toàn bộ 4 biến môi trường nhạy cảm đều được nạp đầy đủ.
- Không có bất kỳ key nhạy cảm nào bị rò rỉ trên repository Git.</t>
        </is>
      </c>
      <c r="J141" s="10" t="inlineStr">
        <is>
          <t>Security / Verification</t>
        </is>
      </c>
      <c r="K141" s="10" t="inlineStr"/>
      <c r="L141" s="10" t="inlineStr"/>
      <c r="M141" s="11" t="inlineStr">
        <is>
          <t>Pass</t>
        </is>
      </c>
      <c r="N141" s="11" t="inlineStr"/>
      <c r="O141" s="11" t="inlineStr"/>
      <c r="P141" s="11" t="inlineStr"/>
    </row>
    <row r="142">
      <c r="A142" s="10" t="n">
        <v>141</v>
      </c>
      <c r="B142" s="10" t="inlineStr">
        <is>
          <t>TC-CONFIG-BE-07</t>
        </is>
      </c>
      <c r="C142" s="10" t="inlineStr">
        <is>
          <t>09 Cấu hình hệ thống</t>
        </is>
      </c>
      <c r="D142" s="10" t="inlineStr">
        <is>
          <t>Backend — Backend Test Cases (Properties, Environment Variables &amp; Profiles)</t>
        </is>
      </c>
      <c r="E142" s="10" t="inlineStr">
        <is>
          <t>Xác thực sự phụ thuộc thư viện Maven (pom.xml)</t>
        </is>
      </c>
      <c r="F142" s="10" t="inlineStr">
        <is>
          <t>Hệ thống thực hiện build gói tin</t>
        </is>
      </c>
      <c r="G142" s="10" t="inlineStr">
        <is>
          <t>Chạy lệnh package Maven</t>
        </is>
      </c>
      <c r="H142" s="10" t="inlineStr">
        <is>
          <t>CLI:
`mvn clean package`</t>
        </is>
      </c>
      <c r="I142" s="10" t="inlineStr">
        <is>
          <t>- Maven tải đầy đủ các starter: web, validation, data-jpa, mail, mssql-jdbc, jsch, oshi-core.
- Build thành công file JAR chạy độc lập mà không gặp lỗi xung đột thư viện (dependency conflicts).</t>
        </is>
      </c>
      <c r="J142" s="10" t="inlineStr">
        <is>
          <t>Build / Reliability</t>
        </is>
      </c>
      <c r="K142" s="10" t="inlineStr"/>
      <c r="L142" s="10" t="inlineStr"/>
      <c r="M142" s="11" t="inlineStr">
        <is>
          <t>Pass</t>
        </is>
      </c>
      <c r="N142" s="11" t="inlineStr"/>
      <c r="O142" s="11" t="inlineStr"/>
      <c r="P142" s="11" t="inlineStr"/>
    </row>
  </sheetData>
  <autoFilter ref="A1:P142"/>
  <conditionalFormatting sqref="M2:M142">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M2:M142" showDropDown="0" showInputMessage="0" showErrorMessage="0" allowBlank="1" type="list">
      <formula1>"Chưa chạy,Pass,Fail,Blocked,Skip"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3" t="inlineStr">
        <is>
          <t>Phân hệ</t>
        </is>
      </c>
      <c r="B1" s="3" t="inlineStr">
        <is>
          <t>Số use case</t>
        </is>
      </c>
      <c r="C1" s="3" t="inlineStr">
        <is>
          <t>Số test case v3</t>
        </is>
      </c>
      <c r="D1" s="3" t="inlineStr">
        <is>
          <t>P1</t>
        </is>
      </c>
      <c r="E1" s="3" t="inlineStr">
        <is>
          <t>P2</t>
        </is>
      </c>
      <c r="F1" s="3" t="inlineStr">
        <is>
          <t>P3</t>
        </is>
      </c>
      <c r="G1" s="3" t="inlineStr">
        <is>
          <t>Đã Pass</t>
        </is>
      </c>
      <c r="H1" s="3" t="inlineStr">
        <is>
          <t>Đã Fail</t>
        </is>
      </c>
      <c r="I1" s="3" t="inlineStr">
        <is>
          <t>Chưa chạy</t>
        </is>
      </c>
    </row>
    <row r="2">
      <c r="A2" s="4" t="inlineStr">
        <is>
          <t>Identity</t>
        </is>
      </c>
      <c r="B2" s="4">
        <f>COUNTIF('Use case'!$D$2:$D$500,A2)</f>
        <v/>
      </c>
      <c r="C2" s="4">
        <f>COUNTIF('Test case v3'!$C$2:$C$533,A2)</f>
        <v/>
      </c>
      <c r="D2" s="4">
        <f>COUNTIFS('Test case v3'!$C$2:$C$533,$A2,'Test case v3'!$K$2:$K$533,"P1*")</f>
        <v/>
      </c>
      <c r="E2" s="4">
        <f>COUNTIFS('Test case v3'!$C$2:$C$533,$A2,'Test case v3'!$K$2:$K$533,"P2*")</f>
        <v/>
      </c>
      <c r="F2" s="4">
        <f>COUNTIFS('Test case v3'!$C$2:$C$533,$A2,'Test case v3'!$K$2:$K$533,"P3*")</f>
        <v/>
      </c>
      <c r="G2" s="4">
        <f>COUNTIFS('Test case v3'!$C$2:$C$533,$A2,'Test case v3'!$M$2:$M$533,"Pass")</f>
        <v/>
      </c>
      <c r="H2" s="4">
        <f>COUNTIFS('Test case v3'!$C$2:$C$533,$A2,'Test case v3'!$M$2:$M$533,"Fail")</f>
        <v/>
      </c>
      <c r="I2" s="4">
        <f>COUNTIFS('Test case v3'!$C$2:$C$533,$A2,'Test case v3'!$M$2:$M$533,"Chưa chạy")</f>
        <v/>
      </c>
    </row>
    <row r="3">
      <c r="A3" s="4" t="inlineStr">
        <is>
          <t>Inventory</t>
        </is>
      </c>
      <c r="B3" s="4">
        <f>COUNTIF('Use case'!$D$2:$D$500,A3)</f>
        <v/>
      </c>
      <c r="C3" s="4">
        <f>COUNTIF('Test case v3'!$C$2:$C$533,A3)</f>
        <v/>
      </c>
      <c r="D3" s="4">
        <f>COUNTIFS('Test case v3'!$C$2:$C$533,$A3,'Test case v3'!$K$2:$K$533,"P1*")</f>
        <v/>
      </c>
      <c r="E3" s="4">
        <f>COUNTIFS('Test case v3'!$C$2:$C$533,$A3,'Test case v3'!$K$2:$K$533,"P2*")</f>
        <v/>
      </c>
      <c r="F3" s="4">
        <f>COUNTIFS('Test case v3'!$C$2:$C$533,$A3,'Test case v3'!$K$2:$K$533,"P3*")</f>
        <v/>
      </c>
      <c r="G3" s="4">
        <f>COUNTIFS('Test case v3'!$C$2:$C$533,$A3,'Test case v3'!$M$2:$M$533,"Pass")</f>
        <v/>
      </c>
      <c r="H3" s="4">
        <f>COUNTIFS('Test case v3'!$C$2:$C$533,$A3,'Test case v3'!$M$2:$M$533,"Fail")</f>
        <v/>
      </c>
      <c r="I3" s="4">
        <f>COUNTIFS('Test case v3'!$C$2:$C$533,$A3,'Test case v3'!$M$2:$M$533,"Chưa chạy")</f>
        <v/>
      </c>
    </row>
    <row r="4">
      <c r="A4" s="4" t="inlineStr">
        <is>
          <t>Monitoring</t>
        </is>
      </c>
      <c r="B4" s="4">
        <f>COUNTIF('Use case'!$D$2:$D$500,A4)</f>
        <v/>
      </c>
      <c r="C4" s="4">
        <f>COUNTIF('Test case v3'!$C$2:$C$533,A4)</f>
        <v/>
      </c>
      <c r="D4" s="4">
        <f>COUNTIFS('Test case v3'!$C$2:$C$533,$A4,'Test case v3'!$K$2:$K$533,"P1*")</f>
        <v/>
      </c>
      <c r="E4" s="4">
        <f>COUNTIFS('Test case v3'!$C$2:$C$533,$A4,'Test case v3'!$K$2:$K$533,"P2*")</f>
        <v/>
      </c>
      <c r="F4" s="4">
        <f>COUNTIFS('Test case v3'!$C$2:$C$533,$A4,'Test case v3'!$K$2:$K$533,"P3*")</f>
        <v/>
      </c>
      <c r="G4" s="4">
        <f>COUNTIFS('Test case v3'!$C$2:$C$533,$A4,'Test case v3'!$M$2:$M$533,"Pass")</f>
        <v/>
      </c>
      <c r="H4" s="4">
        <f>COUNTIFS('Test case v3'!$C$2:$C$533,$A4,'Test case v3'!$M$2:$M$533,"Fail")</f>
        <v/>
      </c>
      <c r="I4" s="4">
        <f>COUNTIFS('Test case v3'!$C$2:$C$533,$A4,'Test case v3'!$M$2:$M$533,"Chưa chạy")</f>
        <v/>
      </c>
    </row>
    <row r="5">
      <c r="A5" s="4" t="inlineStr">
        <is>
          <t>Metrics</t>
        </is>
      </c>
      <c r="B5" s="4">
        <f>COUNTIF('Use case'!$D$2:$D$500,A5)</f>
        <v/>
      </c>
      <c r="C5" s="4">
        <f>COUNTIF('Test case v3'!$C$2:$C$533,A5)</f>
        <v/>
      </c>
      <c r="D5" s="4">
        <f>COUNTIFS('Test case v3'!$C$2:$C$533,$A5,'Test case v3'!$K$2:$K$533,"P1*")</f>
        <v/>
      </c>
      <c r="E5" s="4">
        <f>COUNTIFS('Test case v3'!$C$2:$C$533,$A5,'Test case v3'!$K$2:$K$533,"P2*")</f>
        <v/>
      </c>
      <c r="F5" s="4">
        <f>COUNTIFS('Test case v3'!$C$2:$C$533,$A5,'Test case v3'!$K$2:$K$533,"P3*")</f>
        <v/>
      </c>
      <c r="G5" s="4">
        <f>COUNTIFS('Test case v3'!$C$2:$C$533,$A5,'Test case v3'!$M$2:$M$533,"Pass")</f>
        <v/>
      </c>
      <c r="H5" s="4">
        <f>COUNTIFS('Test case v3'!$C$2:$C$533,$A5,'Test case v3'!$M$2:$M$533,"Fail")</f>
        <v/>
      </c>
      <c r="I5" s="4">
        <f>COUNTIFS('Test case v3'!$C$2:$C$533,$A5,'Test case v3'!$M$2:$M$533,"Chưa chạy")</f>
        <v/>
      </c>
    </row>
    <row r="6">
      <c r="A6" s="4" t="inlineStr">
        <is>
          <t>Incident</t>
        </is>
      </c>
      <c r="B6" s="4">
        <f>COUNTIF('Use case'!$D$2:$D$500,A6)</f>
        <v/>
      </c>
      <c r="C6" s="4">
        <f>COUNTIF('Test case v3'!$C$2:$C$533,A6)</f>
        <v/>
      </c>
      <c r="D6" s="4">
        <f>COUNTIFS('Test case v3'!$C$2:$C$533,$A6,'Test case v3'!$K$2:$K$533,"P1*")</f>
        <v/>
      </c>
      <c r="E6" s="4">
        <f>COUNTIFS('Test case v3'!$C$2:$C$533,$A6,'Test case v3'!$K$2:$K$533,"P2*")</f>
        <v/>
      </c>
      <c r="F6" s="4">
        <f>COUNTIFS('Test case v3'!$C$2:$C$533,$A6,'Test case v3'!$K$2:$K$533,"P3*")</f>
        <v/>
      </c>
      <c r="G6" s="4">
        <f>COUNTIFS('Test case v3'!$C$2:$C$533,$A6,'Test case v3'!$M$2:$M$533,"Pass")</f>
        <v/>
      </c>
      <c r="H6" s="4">
        <f>COUNTIFS('Test case v3'!$C$2:$C$533,$A6,'Test case v3'!$M$2:$M$533,"Fail")</f>
        <v/>
      </c>
      <c r="I6" s="4">
        <f>COUNTIFS('Test case v3'!$C$2:$C$533,$A6,'Test case v3'!$M$2:$M$533,"Chưa chạy")</f>
        <v/>
      </c>
    </row>
    <row r="7">
      <c r="A7" s="4" t="inlineStr">
        <is>
          <t>Notification</t>
        </is>
      </c>
      <c r="B7" s="4">
        <f>COUNTIF('Use case'!$D$2:$D$500,A7)</f>
        <v/>
      </c>
      <c r="C7" s="4">
        <f>COUNTIF('Test case v3'!$C$2:$C$533,A7)</f>
        <v/>
      </c>
      <c r="D7" s="4">
        <f>COUNTIFS('Test case v3'!$C$2:$C$533,$A7,'Test case v3'!$K$2:$K$533,"P1*")</f>
        <v/>
      </c>
      <c r="E7" s="4">
        <f>COUNTIFS('Test case v3'!$C$2:$C$533,$A7,'Test case v3'!$K$2:$K$533,"P2*")</f>
        <v/>
      </c>
      <c r="F7" s="4">
        <f>COUNTIFS('Test case v3'!$C$2:$C$533,$A7,'Test case v3'!$K$2:$K$533,"P3*")</f>
        <v/>
      </c>
      <c r="G7" s="4">
        <f>COUNTIFS('Test case v3'!$C$2:$C$533,$A7,'Test case v3'!$M$2:$M$533,"Pass")</f>
        <v/>
      </c>
      <c r="H7" s="4">
        <f>COUNTIFS('Test case v3'!$C$2:$C$533,$A7,'Test case v3'!$M$2:$M$533,"Fail")</f>
        <v/>
      </c>
      <c r="I7" s="4">
        <f>COUNTIFS('Test case v3'!$C$2:$C$533,$A7,'Test case v3'!$M$2:$M$533,"Chưa chạy")</f>
        <v/>
      </c>
    </row>
    <row r="8">
      <c r="A8" s="4" t="inlineStr">
        <is>
          <t>Realtime</t>
        </is>
      </c>
      <c r="B8" s="4">
        <f>COUNTIF('Use case'!$D$2:$D$500,A8)</f>
        <v/>
      </c>
      <c r="C8" s="4">
        <f>COUNTIF('Test case v3'!$C$2:$C$533,A8)</f>
        <v/>
      </c>
      <c r="D8" s="4">
        <f>COUNTIFS('Test case v3'!$C$2:$C$533,$A8,'Test case v3'!$K$2:$K$533,"P1*")</f>
        <v/>
      </c>
      <c r="E8" s="4">
        <f>COUNTIFS('Test case v3'!$C$2:$C$533,$A8,'Test case v3'!$K$2:$K$533,"P2*")</f>
        <v/>
      </c>
      <c r="F8" s="4">
        <f>COUNTIFS('Test case v3'!$C$2:$C$533,$A8,'Test case v3'!$K$2:$K$533,"P3*")</f>
        <v/>
      </c>
      <c r="G8" s="4">
        <f>COUNTIFS('Test case v3'!$C$2:$C$533,$A8,'Test case v3'!$M$2:$M$533,"Pass")</f>
        <v/>
      </c>
      <c r="H8" s="4">
        <f>COUNTIFS('Test case v3'!$C$2:$C$533,$A8,'Test case v3'!$M$2:$M$533,"Fail")</f>
        <v/>
      </c>
      <c r="I8" s="4">
        <f>COUNTIFS('Test case v3'!$C$2:$C$533,$A8,'Test case v3'!$M$2:$M$533,"Chưa chạy")</f>
        <v/>
      </c>
    </row>
    <row r="9">
      <c r="A9" s="4" t="inlineStr">
        <is>
          <t>Audit</t>
        </is>
      </c>
      <c r="B9" s="4">
        <f>COUNTIF('Use case'!$D$2:$D$500,A9)</f>
        <v/>
      </c>
      <c r="C9" s="4">
        <f>COUNTIF('Test case v3'!$C$2:$C$533,A9)</f>
        <v/>
      </c>
      <c r="D9" s="4">
        <f>COUNTIFS('Test case v3'!$C$2:$C$533,$A9,'Test case v3'!$K$2:$K$533,"P1*")</f>
        <v/>
      </c>
      <c r="E9" s="4">
        <f>COUNTIFS('Test case v3'!$C$2:$C$533,$A9,'Test case v3'!$K$2:$K$533,"P2*")</f>
        <v/>
      </c>
      <c r="F9" s="4">
        <f>COUNTIFS('Test case v3'!$C$2:$C$533,$A9,'Test case v3'!$K$2:$K$533,"P3*")</f>
        <v/>
      </c>
      <c r="G9" s="4">
        <f>COUNTIFS('Test case v3'!$C$2:$C$533,$A9,'Test case v3'!$M$2:$M$533,"Pass")</f>
        <v/>
      </c>
      <c r="H9" s="4">
        <f>COUNTIFS('Test case v3'!$C$2:$C$533,$A9,'Test case v3'!$M$2:$M$533,"Fail")</f>
        <v/>
      </c>
      <c r="I9" s="4">
        <f>COUNTIFS('Test case v3'!$C$2:$C$533,$A9,'Test case v3'!$M$2:$M$533,"Chưa chạy")</f>
        <v/>
      </c>
    </row>
    <row r="10">
      <c r="A10" s="4" t="inlineStr">
        <is>
          <t>Gateway &amp; Config</t>
        </is>
      </c>
      <c r="B10" s="4">
        <f>COUNTIF('Use case'!$D$2:$D$500,A10)</f>
        <v/>
      </c>
      <c r="C10" s="4">
        <f>COUNTIF('Test case v3'!$C$2:$C$533,A10)</f>
        <v/>
      </c>
      <c r="D10" s="4">
        <f>COUNTIFS('Test case v3'!$C$2:$C$533,$A10,'Test case v3'!$K$2:$K$533,"P1*")</f>
        <v/>
      </c>
      <c r="E10" s="4">
        <f>COUNTIFS('Test case v3'!$C$2:$C$533,$A10,'Test case v3'!$K$2:$K$533,"P2*")</f>
        <v/>
      </c>
      <c r="F10" s="4">
        <f>COUNTIFS('Test case v3'!$C$2:$C$533,$A10,'Test case v3'!$K$2:$K$533,"P3*")</f>
        <v/>
      </c>
      <c r="G10" s="4">
        <f>COUNTIFS('Test case v3'!$C$2:$C$533,$A10,'Test case v3'!$M$2:$M$533,"Pass")</f>
        <v/>
      </c>
      <c r="H10" s="4">
        <f>COUNTIFS('Test case v3'!$C$2:$C$533,$A10,'Test case v3'!$M$2:$M$533,"Fail")</f>
        <v/>
      </c>
      <c r="I10" s="4">
        <f>COUNTIFS('Test case v3'!$C$2:$C$533,$A10,'Test case v3'!$M$2:$M$533,"Chưa chạy")</f>
        <v/>
      </c>
    </row>
    <row r="11">
      <c r="A11" s="4" t="inlineStr">
        <is>
          <t>Security</t>
        </is>
      </c>
      <c r="B11" s="4">
        <f>COUNTIF('Use case'!$D$2:$D$500,A11)</f>
        <v/>
      </c>
      <c r="C11" s="4">
        <f>COUNTIF('Test case v3'!$C$2:$C$533,A11)</f>
        <v/>
      </c>
      <c r="D11" s="4">
        <f>COUNTIFS('Test case v3'!$C$2:$C$533,$A11,'Test case v3'!$K$2:$K$533,"P1*")</f>
        <v/>
      </c>
      <c r="E11" s="4">
        <f>COUNTIFS('Test case v3'!$C$2:$C$533,$A11,'Test case v3'!$K$2:$K$533,"P2*")</f>
        <v/>
      </c>
      <c r="F11" s="4">
        <f>COUNTIFS('Test case v3'!$C$2:$C$533,$A11,'Test case v3'!$K$2:$K$533,"P3*")</f>
        <v/>
      </c>
      <c r="G11" s="4">
        <f>COUNTIFS('Test case v3'!$C$2:$C$533,$A11,'Test case v3'!$M$2:$M$533,"Pass")</f>
        <v/>
      </c>
      <c r="H11" s="4">
        <f>COUNTIFS('Test case v3'!$C$2:$C$533,$A11,'Test case v3'!$M$2:$M$533,"Fail")</f>
        <v/>
      </c>
      <c r="I11" s="4">
        <f>COUNTIFS('Test case v3'!$C$2:$C$533,$A11,'Test case v3'!$M$2:$M$533,"Chưa chạy")</f>
        <v/>
      </c>
    </row>
    <row r="12">
      <c r="A12" s="4" t="inlineStr">
        <is>
          <t>Performance &amp; Scaling</t>
        </is>
      </c>
      <c r="B12" s="4">
        <f>COUNTIF('Use case'!$D$2:$D$500,A12)</f>
        <v/>
      </c>
      <c r="C12" s="4">
        <f>COUNTIF('Test case v3'!$C$2:$C$533,A12)</f>
        <v/>
      </c>
      <c r="D12" s="4">
        <f>COUNTIFS('Test case v3'!$C$2:$C$533,$A12,'Test case v3'!$K$2:$K$533,"P1*")</f>
        <v/>
      </c>
      <c r="E12" s="4">
        <f>COUNTIFS('Test case v3'!$C$2:$C$533,$A12,'Test case v3'!$K$2:$K$533,"P2*")</f>
        <v/>
      </c>
      <c r="F12" s="4">
        <f>COUNTIFS('Test case v3'!$C$2:$C$533,$A12,'Test case v3'!$K$2:$K$533,"P3*")</f>
        <v/>
      </c>
      <c r="G12" s="4">
        <f>COUNTIFS('Test case v3'!$C$2:$C$533,$A12,'Test case v3'!$M$2:$M$533,"Pass")</f>
        <v/>
      </c>
      <c r="H12" s="4">
        <f>COUNTIFS('Test case v3'!$C$2:$C$533,$A12,'Test case v3'!$M$2:$M$533,"Fail")</f>
        <v/>
      </c>
      <c r="I12" s="4">
        <f>COUNTIFS('Test case v3'!$C$2:$C$533,$A12,'Test case v3'!$M$2:$M$533,"Chưa chạy")</f>
        <v/>
      </c>
    </row>
    <row r="13">
      <c r="A13" s="4" t="inlineStr">
        <is>
          <t>Messaging &amp; Contract</t>
        </is>
      </c>
      <c r="B13" s="4">
        <f>COUNTIF('Use case'!$D$2:$D$500,A13)</f>
        <v/>
      </c>
      <c r="C13" s="4">
        <f>COUNTIF('Test case v3'!$C$2:$C$533,A13)</f>
        <v/>
      </c>
      <c r="D13" s="4">
        <f>COUNTIFS('Test case v3'!$C$2:$C$533,$A13,'Test case v3'!$K$2:$K$533,"P1*")</f>
        <v/>
      </c>
      <c r="E13" s="4">
        <f>COUNTIFS('Test case v3'!$C$2:$C$533,$A13,'Test case v3'!$K$2:$K$533,"P2*")</f>
        <v/>
      </c>
      <c r="F13" s="4">
        <f>COUNTIFS('Test case v3'!$C$2:$C$533,$A13,'Test case v3'!$K$2:$K$533,"P3*")</f>
        <v/>
      </c>
      <c r="G13" s="4">
        <f>COUNTIFS('Test case v3'!$C$2:$C$533,$A13,'Test case v3'!$M$2:$M$533,"Pass")</f>
        <v/>
      </c>
      <c r="H13" s="4">
        <f>COUNTIFS('Test case v3'!$C$2:$C$533,$A13,'Test case v3'!$M$2:$M$533,"Fail")</f>
        <v/>
      </c>
      <c r="I13" s="4">
        <f>COUNTIFS('Test case v3'!$C$2:$C$533,$A13,'Test case v3'!$M$2:$M$533,"Chưa chạy")</f>
        <v/>
      </c>
    </row>
    <row r="14">
      <c r="A14" s="12" t="inlineStr">
        <is>
          <t>Tổng</t>
        </is>
      </c>
      <c r="B14" s="12">
        <f>SUM(B2:B13)</f>
        <v/>
      </c>
      <c r="C14" s="12">
        <f>SUM(C2:C13)</f>
        <v/>
      </c>
      <c r="D14" s="12">
        <f>SUM(D2:D13)</f>
        <v/>
      </c>
      <c r="E14" s="12">
        <f>SUM(E2:E13)</f>
        <v/>
      </c>
      <c r="F14" s="12">
        <f>SUM(F2:F13)</f>
        <v/>
      </c>
      <c r="G14" s="12">
        <f>SUM(G2:G13)</f>
        <v/>
      </c>
      <c r="H14" s="12">
        <f>SUM(H2:H13)</f>
        <v/>
      </c>
      <c r="I14" s="12">
        <f>SUM(I2:I13)</f>
        <v/>
      </c>
    </row>
    <row r="16">
      <c r="A16" s="2" t="inlineStr">
        <is>
          <t>Ghi chú: 'Security', 'Performance &amp; Scaling', 'Messaging &amp; Contract' là bộ test xuyên service, không gắn use case riêng. Xem cột 'Truy vết' ở sheet Test case v3 để biết FR/BR tương ứng.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4" customWidth="1" min="2" max="2"/>
    <col width="34" customWidth="1" min="3" max="3"/>
    <col width="34" customWidth="1" min="4" max="4"/>
    <col width="8" customWidth="1" min="5" max="5"/>
    <col width="16" customWidth="1" min="6" max="6"/>
  </cols>
  <sheetData>
    <row r="1" ht="32" customHeight="1">
      <c r="A1" s="3" t="inlineStr">
        <is>
          <t>Hạng mục công việc</t>
        </is>
      </c>
      <c r="B1" s="3" t="inlineStr">
        <is>
          <t>Thư mục phụ trách</t>
        </is>
      </c>
      <c r="C1" s="3" t="inlineStr">
        <is>
          <t>Đặc tả</t>
        </is>
      </c>
      <c r="D1" s="3" t="inlineStr">
        <is>
          <t>Test case</t>
        </is>
      </c>
      <c r="E1" s="3" t="inlineStr">
        <is>
          <t>Mốc</t>
        </is>
      </c>
      <c r="F1" s="3" t="inlineStr">
        <is>
          <t>Trạng thái</t>
        </is>
      </c>
    </row>
    <row r="2">
      <c r="A2" s="10" t="inlineStr">
        <is>
          <t>Khối dùng chung</t>
        </is>
      </c>
      <c r="B2" s="10" t="inlineStr">
        <is>
          <t>`apps/backend-v3/src/BuildingBlocks/`</t>
        </is>
      </c>
      <c r="C2" s="10" t="inlineStr">
        <is>
          <t>[solid_clean_architecture](01_architecture/solid_clean_architecture.md)</t>
        </is>
      </c>
      <c r="D2" s="10" t="inlineStr">
        <is>
          <t>—</t>
        </is>
      </c>
      <c r="E2" s="10" t="inlineStr">
        <is>
          <t>M1</t>
        </is>
      </c>
      <c r="F2" s="10" t="inlineStr">
        <is>
          <t>✅</t>
        </is>
      </c>
    </row>
    <row r="3">
      <c r="A3" s="10" t="inlineStr">
        <is>
          <t>API Gateway</t>
        </is>
      </c>
      <c r="B3" s="10" t="inlineStr">
        <is>
          <t>`apps/backend-v3/src/Gateway/`</t>
        </is>
      </c>
      <c r="C3" s="10" t="inlineStr">
        <is>
          <t>[09_gateway_config](02_srs/09_gateway_config.md)</t>
        </is>
      </c>
      <c r="D3" s="10" t="inlineStr">
        <is>
          <t>[TC-09](04_test_cases/TC-09_gateway_config.md)</t>
        </is>
      </c>
      <c r="E3" s="10" t="inlineStr">
        <is>
          <t>M1</t>
        </is>
      </c>
      <c r="F3" s="10" t="inlineStr">
        <is>
          <t>🟡 thiếu test</t>
        </is>
      </c>
    </row>
    <row r="4">
      <c r="A4" s="10" t="inlineStr">
        <is>
          <t>Identity</t>
        </is>
      </c>
      <c r="B4" s="10" t="inlineStr">
        <is>
          <t>`.../src/Services/Identity/`</t>
        </is>
      </c>
      <c r="C4" s="10" t="inlineStr">
        <is>
          <t>[01_identity](02_srs/01_identity.md)</t>
        </is>
      </c>
      <c r="D4" s="10" t="inlineStr">
        <is>
          <t>[TC-01](04_test_cases/TC-01_identity.md)</t>
        </is>
      </c>
      <c r="E4" s="10" t="inlineStr">
        <is>
          <t>M1</t>
        </is>
      </c>
      <c r="F4" s="10" t="inlineStr">
        <is>
          <t>✅</t>
        </is>
      </c>
    </row>
    <row r="5">
      <c r="A5" s="10" t="inlineStr">
        <is>
          <t>Giao diện đăng nhập &amp; người dùng</t>
        </is>
      </c>
      <c r="B5" s="10" t="inlineStr">
        <is>
          <t>`apps/web/src/features/auth`, `.../users`</t>
        </is>
      </c>
      <c r="C5" s="10" t="inlineStr">
        <is>
          <t>[frontend_architecture](01_architecture/frontend_architecture.md)</t>
        </is>
      </c>
      <c r="D5" s="10" t="inlineStr">
        <is>
          <t>TC-IDN-E2E-*</t>
        </is>
      </c>
      <c r="E5" s="10" t="inlineStr">
        <is>
          <t>M1</t>
        </is>
      </c>
      <c r="F5" s="10" t="inlineStr">
        <is>
          <t>🔜</t>
        </is>
      </c>
    </row>
    <row r="6">
      <c r="A6" s="10" t="inlineStr">
        <is>
          <t>Inventory</t>
        </is>
      </c>
      <c r="B6" s="10" t="inlineStr">
        <is>
          <t>`.../src/Services/Inventory/`</t>
        </is>
      </c>
      <c r="C6" s="10" t="inlineStr">
        <is>
          <t>[02_inventory](02_srs/02_inventory.md)</t>
        </is>
      </c>
      <c r="D6" s="10" t="inlineStr">
        <is>
          <t>[TC-02](04_test_cases/TC-02_inventory.md)</t>
        </is>
      </c>
      <c r="E6" s="10" t="inlineStr">
        <is>
          <t>M2</t>
        </is>
      </c>
      <c r="F6" s="10" t="inlineStr">
        <is>
          <t>🔜</t>
        </is>
      </c>
    </row>
    <row r="7">
      <c r="A7" s="10" t="inlineStr">
        <is>
          <t>Monitoring</t>
        </is>
      </c>
      <c r="B7" s="10" t="inlineStr">
        <is>
          <t>`.../src/Services/Monitoring/`</t>
        </is>
      </c>
      <c r="C7" s="10" t="inlineStr">
        <is>
          <t>[03_monitoring](02_srs/03_monitoring.md)</t>
        </is>
      </c>
      <c r="D7" s="10" t="inlineStr">
        <is>
          <t>[TC-03](04_test_cases/TC-03_monitoring.md)</t>
        </is>
      </c>
      <c r="E7" s="10" t="inlineStr">
        <is>
          <t>M2</t>
        </is>
      </c>
      <c r="F7" s="10" t="inlineStr">
        <is>
          <t>🔜</t>
        </is>
      </c>
    </row>
    <row r="8">
      <c r="A8" s="10" t="inlineStr">
        <is>
          <t>Metrics</t>
        </is>
      </c>
      <c r="B8" s="10" t="inlineStr">
        <is>
          <t>`.../src/Services/Metrics/`</t>
        </is>
      </c>
      <c r="C8" s="10" t="inlineStr">
        <is>
          <t>[04_metrics](02_srs/04_metrics.md)</t>
        </is>
      </c>
      <c r="D8" s="10" t="inlineStr">
        <is>
          <t>[TC-04](04_test_cases/TC-04_metrics.md)</t>
        </is>
      </c>
      <c r="E8" s="10" t="inlineStr">
        <is>
          <t>M2</t>
        </is>
      </c>
      <c r="F8" s="10" t="inlineStr">
        <is>
          <t>🔜</t>
        </is>
      </c>
    </row>
    <row r="9">
      <c r="A9" s="10" t="inlineStr">
        <is>
          <t>Hạ tầng message (RabbitMQ + outbox)</t>
        </is>
      </c>
      <c r="B9" s="10" t="inlineStr">
        <is>
          <t>`.../src/BuildingBlocks/SOE.BuildingBlocks.Infrastructure/`</t>
        </is>
      </c>
      <c r="C9" s="10" t="inlineStr">
        <is>
          <t>[messaging_events](01_architecture/messaging_events.md)</t>
        </is>
      </c>
      <c r="D9" s="10" t="inlineStr">
        <is>
          <t>[contract_messaging_tests](04_test_cases/contract_messaging_tests.md)</t>
        </is>
      </c>
      <c r="E9" s="10" t="inlineStr">
        <is>
          <t>M2</t>
        </is>
      </c>
      <c r="F9" s="10" t="inlineStr">
        <is>
          <t>🔜</t>
        </is>
      </c>
    </row>
    <row r="10">
      <c r="A10" s="10" t="inlineStr">
        <is>
          <t>Incident</t>
        </is>
      </c>
      <c r="B10" s="10" t="inlineStr">
        <is>
          <t>`.../src/Services/Incident/`</t>
        </is>
      </c>
      <c r="C10" s="10" t="inlineStr">
        <is>
          <t>[05_incident](02_srs/05_incident.md)</t>
        </is>
      </c>
      <c r="D10" s="10" t="inlineStr">
        <is>
          <t>[TC-05](04_test_cases/TC-05_incident.md)</t>
        </is>
      </c>
      <c r="E10" s="10" t="inlineStr">
        <is>
          <t>M3</t>
        </is>
      </c>
      <c r="F10" s="10" t="inlineStr">
        <is>
          <t>🔜</t>
        </is>
      </c>
    </row>
    <row r="11">
      <c r="A11" s="10" t="inlineStr">
        <is>
          <t>Notification</t>
        </is>
      </c>
      <c r="B11" s="10" t="inlineStr">
        <is>
          <t>`.../src/Services/Notification/`</t>
        </is>
      </c>
      <c r="C11" s="10" t="inlineStr">
        <is>
          <t>[06_notification](02_srs/06_notification.md)</t>
        </is>
      </c>
      <c r="D11" s="10" t="inlineStr">
        <is>
          <t>[TC-06](04_test_cases/TC-06_notification.md)</t>
        </is>
      </c>
      <c r="E11" s="10" t="inlineStr">
        <is>
          <t>M3</t>
        </is>
      </c>
      <c r="F11" s="10" t="inlineStr">
        <is>
          <t>🔜</t>
        </is>
      </c>
    </row>
    <row r="12">
      <c r="A12" s="10" t="inlineStr">
        <is>
          <t>Realtime</t>
        </is>
      </c>
      <c r="B12" s="10" t="inlineStr">
        <is>
          <t>`.../src/Services/Realtime/`</t>
        </is>
      </c>
      <c r="C12" s="10" t="inlineStr">
        <is>
          <t>[07_realtime](02_srs/07_realtime.md)</t>
        </is>
      </c>
      <c r="D12" s="10" t="inlineStr">
        <is>
          <t>[TC-07](04_test_cases/TC-07_realtime.md)</t>
        </is>
      </c>
      <c r="E12" s="10" t="inlineStr">
        <is>
          <t>M4</t>
        </is>
      </c>
      <c r="F12" s="10" t="inlineStr">
        <is>
          <t>🔜</t>
        </is>
      </c>
    </row>
    <row r="13">
      <c r="A13" s="10" t="inlineStr">
        <is>
          <t>Audit</t>
        </is>
      </c>
      <c r="B13" s="10" t="inlineStr">
        <is>
          <t>`.../src/Services/Audit/`</t>
        </is>
      </c>
      <c r="C13" s="10" t="inlineStr">
        <is>
          <t>[08_audit](02_srs/08_audit.md)</t>
        </is>
      </c>
      <c r="D13" s="10" t="inlineStr">
        <is>
          <t>[TC-08](04_test_cases/TC-08_audit.md)</t>
        </is>
      </c>
      <c r="E13" s="10" t="inlineStr">
        <is>
          <t>M4</t>
        </is>
      </c>
      <c r="F13" s="10" t="inlineStr">
        <is>
          <t>🔜</t>
        </is>
      </c>
    </row>
    <row r="14">
      <c r="A14" s="10" t="inlineStr">
        <is>
          <t>Màn hình còn lại của giao diện</t>
        </is>
      </c>
      <c r="B14" s="10" t="inlineStr">
        <is>
          <t>`apps/web/src/features/*`</t>
        </is>
      </c>
      <c r="C14" s="10" t="inlineStr">
        <is>
          <t>[frontend_architecture](01_architecture/frontend_architecture.md)</t>
        </is>
      </c>
      <c r="D14" s="10" t="inlineStr">
        <is>
          <t>TC-*-E2E-*</t>
        </is>
      </c>
      <c r="E14" s="10" t="inlineStr">
        <is>
          <t>M2–M4</t>
        </is>
      </c>
      <c r="F14" s="10" t="inlineStr">
        <is>
          <t>🔜</t>
        </is>
      </c>
    </row>
    <row r="15">
      <c r="A15" s="10" t="inlineStr">
        <is>
          <t>Kubernetes, KEDA, HPA</t>
        </is>
      </c>
      <c r="B15" s="10" t="inlineStr">
        <is>
          <t>`deploy/k8s/`</t>
        </is>
      </c>
      <c r="C15" s="10" t="inlineStr">
        <is>
          <t>[deployment_scaling](01_architecture/deployment_scaling.md)</t>
        </is>
      </c>
      <c r="D15" s="10" t="inlineStr">
        <is>
          <t>[performance_scaling_tests](04_test_cases/performance_scaling_tests.md)</t>
        </is>
      </c>
      <c r="E15" s="10" t="inlineStr">
        <is>
          <t>M5</t>
        </is>
      </c>
      <c r="F15" s="10" t="inlineStr">
        <is>
          <t>🔜</t>
        </is>
      </c>
    </row>
    <row r="16">
      <c r="A16" s="10" t="inlineStr">
        <is>
          <t>Quan sát (log, trace, metric)</t>
        </is>
      </c>
      <c r="B16" s="10" t="inlineStr">
        <is>
          <t>mọi service + `deploy/`</t>
        </is>
      </c>
      <c r="C16" s="10" t="inlineStr">
        <is>
          <t>[observability](01_architecture/observability.md)</t>
        </is>
      </c>
      <c r="D16" s="10" t="inlineStr">
        <is>
          <t>—</t>
        </is>
      </c>
      <c r="E16" s="10" t="inlineStr">
        <is>
          <t>M5</t>
        </is>
      </c>
      <c r="F16" s="10" t="inlineStr">
        <is>
          <t>🔜</t>
        </is>
      </c>
    </row>
    <row r="17">
      <c r="A17" s="10" t="inlineStr">
        <is>
          <t>CI/CD</t>
        </is>
      </c>
      <c r="B17" s="10" t="inlineStr">
        <is>
          <t>`.github/workflows/`</t>
        </is>
      </c>
      <c r="C17" s="10" t="inlineStr">
        <is>
          <t>[deployment_scaling §6](01_architecture/deployment_scaling.md)</t>
        </is>
      </c>
      <c r="D17" s="10" t="inlineStr">
        <is>
          <t>—</t>
        </is>
      </c>
      <c r="E17" s="10" t="inlineStr">
        <is>
          <t>M1–M5</t>
        </is>
      </c>
      <c r="F17" s="10" t="inlineStr">
        <is>
          <t>🔜</t>
        </is>
      </c>
    </row>
    <row r="18">
      <c r="A18" s="10" t="inlineStr">
        <is>
          <t>Kiểm thử hiệu năng &amp; bảo mật</t>
        </is>
      </c>
      <c r="B18" s="10" t="inlineStr">
        <is>
          <t>`tools/perf/`, `apps/web/tests/`</t>
        </is>
      </c>
      <c r="C18" s="10" t="inlineStr">
        <is>
          <t>[nfr](01_architecture/nfr.md)</t>
        </is>
      </c>
      <c r="D18" s="10" t="inlineStr">
        <is>
          <t>[security_tests](04_test_cases/security_tests.md)</t>
        </is>
      </c>
      <c r="E18" s="10" t="inlineStr">
        <is>
          <t>M5</t>
        </is>
      </c>
      <c r="F18" s="10" t="inlineStr">
        <is>
          <t>🔜</t>
        </is>
      </c>
    </row>
    <row r="19">
      <c r="A19" s="10" t="inlineStr">
        <is>
          <t>Bảo trì bản v1</t>
        </is>
      </c>
      <c r="B19" s="10" t="inlineStr">
        <is>
          <t>`apps/legacy-v1/`</t>
        </is>
      </c>
      <c r="C19" s="10" t="inlineStr">
        <is>
          <t>[legacy-v1/SRS](legacy-v1/SRS/README.md)</t>
        </is>
      </c>
      <c r="D19" s="10" t="inlineStr">
        <is>
          <t>[legacy-v1/test_cases](legacy-v1/test_cases/README.md)</t>
        </is>
      </c>
      <c r="E19" s="10" t="inlineStr">
        <is>
          <t>—</t>
        </is>
      </c>
      <c r="F19" s="10" t="inlineStr">
        <is>
          <t>🟢 chỉ sửa lỗi</t>
        </is>
      </c>
    </row>
    <row r="21">
      <c r="A21" s="6" t="inlineStr">
        <is>
          <t>Việc đang nợ của M1</t>
        </is>
      </c>
    </row>
    <row r="22">
      <c r="A22" s="3" t="inlineStr">
        <is>
          <t>#</t>
        </is>
      </c>
      <c r="B22" s="3" t="inlineStr">
        <is>
          <t>Việc</t>
        </is>
      </c>
      <c r="C22" s="3" t="inlineStr">
        <is>
          <t>Thư mục</t>
        </is>
      </c>
      <c r="D22" s="3" t="inlineStr">
        <is>
          <t>Test case liên quan</t>
        </is>
      </c>
      <c r="E22" s="3" t="inlineStr">
        <is>
          <t>Ưu tiên</t>
        </is>
      </c>
    </row>
    <row r="23">
      <c r="A23" s="10" t="inlineStr">
        <is>
          <t>1</t>
        </is>
      </c>
      <c r="B23" s="10" t="inlineStr">
        <is>
          <t>Nối giao diện vào API thật (bỏ mock): cài axios, TanStack Query, zod, react-hook-form; tách `AppContext`</t>
        </is>
      </c>
      <c r="C23" s="10" t="inlineStr">
        <is>
          <t>`apps/web/src/`</t>
        </is>
      </c>
      <c r="D23" s="10" t="inlineStr">
        <is>
          <t>TC-IDN-E2E-001…012</t>
        </is>
      </c>
      <c r="E23" s="10" t="inlineStr">
        <is>
          <t>P1</t>
        </is>
      </c>
    </row>
    <row r="24">
      <c r="A24" s="10" t="inlineStr">
        <is>
          <t>2</t>
        </is>
      </c>
      <c r="B24" s="10" t="inlineStr">
        <is>
          <t>Test tích hợp API bằng `WebApplicationFactory` + Testcontainers</t>
        </is>
      </c>
      <c r="C24" s="10" t="inlineStr">
        <is>
          <t>`apps/backend-v3/tests/SOE.IntegrationTests/`</t>
        </is>
      </c>
      <c r="D24" s="10" t="inlineStr">
        <is>
          <t>TC-IDN-API-*</t>
        </is>
      </c>
      <c r="E24" s="10" t="inlineStr">
        <is>
          <t>P1</t>
        </is>
      </c>
    </row>
    <row r="25">
      <c r="A25" s="10" t="inlineStr">
        <is>
          <t>3</t>
        </is>
      </c>
      <c r="B25" s="10" t="inlineStr">
        <is>
          <t>Test cho Gateway (định tuyến, JWT, RBAC, rate limit, header) — smoke `tools/scripts/smoke-m1.ps1` mới phủ TC-GW-SEC-001…003</t>
        </is>
      </c>
      <c r="C25" s="10" t="inlineStr">
        <is>
          <t>`apps/backend-v3/tests/SOE.Gateway.Tests/`</t>
        </is>
      </c>
      <c r="D25" s="10" t="inlineStr">
        <is>
          <t>TC-GW-SEC-001…018</t>
        </is>
      </c>
      <c r="E25" s="10" t="inlineStr">
        <is>
          <t>P1</t>
        </is>
      </c>
    </row>
    <row r="26">
      <c r="A26" s="10" t="inlineStr">
        <is>
          <t>4</t>
        </is>
      </c>
      <c r="B26" s="10" t="inlineStr">
        <is>
          <t>Rate limit dùng Redis thay bộ đếm trong tiến trình</t>
        </is>
      </c>
      <c r="C26" s="10" t="inlineStr">
        <is>
          <t>`.../src/Gateway/`, `.../Identity.Api`</t>
        </is>
      </c>
      <c r="D26" s="10" t="inlineStr">
        <is>
          <t>TC-GW-SEC-012</t>
        </is>
      </c>
      <c r="E26" s="10" t="inlineStr">
        <is>
          <t>P2</t>
        </is>
      </c>
    </row>
    <row r="27">
      <c r="A27" s="10" t="inlineStr">
        <is>
          <t>5</t>
        </is>
      </c>
      <c r="B27" s="10" t="inlineStr">
        <is>
          <t>Khóa ký JWT cố định (PEM qua secret) thay khóa tạm sinh khi khởi động</t>
        </is>
      </c>
      <c r="C27" s="10" t="inlineStr">
        <is>
          <t>`deploy/docker/.env`, `tools/scripts/`</t>
        </is>
      </c>
      <c r="D27" s="10" t="inlineStr">
        <is>
          <t>TC-GW-SEC-007</t>
        </is>
      </c>
      <c r="E27" s="10" t="inlineStr">
        <is>
          <t>P2</t>
        </is>
      </c>
    </row>
    <row r="28">
      <c r="A28" s="10" t="inlineStr">
        <is>
          <t>6</t>
        </is>
      </c>
      <c r="B28" s="10" t="inlineStr">
        <is>
          <t>Workflow CI đầu tiên (build + test + quét bảo mật) — có thể gọi lại `tools/scripts/test-all.ps1`</t>
        </is>
      </c>
      <c r="C28" s="10" t="inlineStr">
        <is>
          <t>`.github/workflows/`</t>
        </is>
      </c>
      <c r="D28" s="10" t="inlineStr">
        <is>
          <t>—</t>
        </is>
      </c>
      <c r="E28" s="10" t="inlineStr">
        <is>
          <t>P2</t>
        </is>
      </c>
    </row>
  </sheetData>
  <autoFilter ref="A1:F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2026-09-29T10:33:04Z</dcterms:created>
  <dcterms:modified xsi:type="dcterms:W3CDTF">2026-09-29T10:33:04Z</dcterms:modified>
</cp:coreProperties>
</file>